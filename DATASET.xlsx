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80a971ac8ab6464/Documents/PROJECT/"/>
    </mc:Choice>
  </mc:AlternateContent>
  <xr:revisionPtr revIDLastSave="41" documentId="13_ncr:1_{0EC427FD-06F0-4E1B-92FE-F494D837E50A}" xr6:coauthVersionLast="47" xr6:coauthVersionMax="47" xr10:uidLastSave="{1D6C29DC-67AB-4C05-AFCD-A8331EFEF79E}"/>
  <bookViews>
    <workbookView xWindow="-108" yWindow="-108" windowWidth="23256" windowHeight="12456" activeTab="2" xr2:uid="{00000000-000D-0000-FFFF-FFFF00000000}"/>
  </bookViews>
  <sheets>
    <sheet name="CLEAN DATA" sheetId="1" r:id="rId1"/>
    <sheet name="PIVOT TABLE" sheetId="2" r:id="rId2"/>
    <sheet name="DASHBOARD" sheetId="3" r:id="rId3"/>
  </sheets>
  <definedNames>
    <definedName name="Slicer_AI_Generated">#N/A</definedName>
    <definedName name="Slicer_Content_Type">#N/A</definedName>
    <definedName name="Slicer_Platform">#N/A</definedName>
    <definedName name="Slicer_Region">#N/A</definedName>
    <definedName name="Slicer_Verified_Label">#N/A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 l="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3" i="1"/>
  <c r="I4" i="1"/>
  <c r="I5" i="1"/>
  <c r="I6" i="1"/>
  <c r="I7" i="1"/>
  <c r="I8" i="1"/>
  <c r="I9" i="1"/>
  <c r="I10" i="1"/>
  <c r="I11" i="1"/>
  <c r="I12" i="1"/>
  <c r="I13" i="1"/>
  <c r="I14" i="1"/>
  <c r="I15" i="1"/>
  <c r="I2"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79" i="1"/>
  <c r="Q80" i="1"/>
  <c r="Q81" i="1"/>
  <c r="Q82" i="1"/>
  <c r="Q83" i="1"/>
  <c r="Q84" i="1"/>
  <c r="Q85" i="1"/>
  <c r="Q86" i="1"/>
  <c r="Q87" i="1"/>
  <c r="Q88" i="1"/>
  <c r="Q89" i="1"/>
  <c r="Q90" i="1"/>
  <c r="Q91" i="1"/>
  <c r="Q92" i="1"/>
  <c r="Q93" i="1"/>
  <c r="Q94" i="1"/>
  <c r="Q95" i="1"/>
  <c r="Q96" i="1"/>
  <c r="Q97" i="1"/>
  <c r="Q98" i="1"/>
  <c r="Q99" i="1"/>
  <c r="Q100" i="1"/>
  <c r="Q101" i="1"/>
  <c r="Q58" i="1"/>
  <c r="Q59" i="1"/>
  <c r="Q60" i="1"/>
  <c r="Q61" i="1"/>
  <c r="Q62" i="1"/>
  <c r="Q63" i="1"/>
  <c r="Q64" i="1"/>
  <c r="Q65" i="1"/>
  <c r="Q66" i="1"/>
  <c r="Q67" i="1"/>
  <c r="Q68" i="1"/>
  <c r="Q69" i="1"/>
  <c r="Q70" i="1"/>
  <c r="Q71" i="1"/>
  <c r="Q72" i="1"/>
  <c r="Q73" i="1"/>
  <c r="Q74" i="1"/>
  <c r="Q75" i="1"/>
  <c r="Q76" i="1"/>
  <c r="Q77" i="1"/>
  <c r="Q78" i="1"/>
  <c r="Q37" i="1"/>
  <c r="Q38" i="1"/>
  <c r="Q39" i="1"/>
  <c r="Q40" i="1"/>
  <c r="Q41" i="1"/>
  <c r="Q42" i="1"/>
  <c r="Q43" i="1"/>
  <c r="Q44" i="1"/>
  <c r="Q45" i="1"/>
  <c r="Q46" i="1"/>
  <c r="Q47" i="1"/>
  <c r="Q48" i="1"/>
  <c r="Q49" i="1"/>
  <c r="Q50" i="1"/>
  <c r="Q51" i="1"/>
  <c r="Q52" i="1"/>
  <c r="Q53" i="1"/>
  <c r="Q54" i="1"/>
  <c r="Q55" i="1"/>
  <c r="Q56" i="1"/>
  <c r="Q57" i="1"/>
  <c r="Q21" i="1"/>
  <c r="Q22" i="1"/>
  <c r="Q23" i="1"/>
  <c r="Q24" i="1"/>
  <c r="Q25" i="1"/>
  <c r="Q26" i="1"/>
  <c r="Q27" i="1"/>
  <c r="Q28" i="1"/>
  <c r="Q29" i="1"/>
  <c r="Q30" i="1"/>
  <c r="Q31" i="1"/>
  <c r="Q32" i="1"/>
  <c r="Q33" i="1"/>
  <c r="Q34" i="1"/>
  <c r="Q35" i="1"/>
  <c r="Q36" i="1"/>
  <c r="Q3" i="1"/>
  <c r="Q4" i="1"/>
  <c r="Q5" i="1"/>
  <c r="Q6" i="1"/>
  <c r="Q7" i="1"/>
  <c r="Q8" i="1"/>
  <c r="Q9" i="1"/>
  <c r="Q10" i="1"/>
  <c r="Q11" i="1"/>
  <c r="Q12" i="1"/>
  <c r="Q13" i="1"/>
  <c r="Q14" i="1"/>
  <c r="Q15" i="1"/>
  <c r="Q16" i="1"/>
  <c r="Q17" i="1"/>
  <c r="Q18" i="1"/>
  <c r="Q19" i="1"/>
  <c r="Q20" i="1"/>
  <c r="Q2"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68" i="1"/>
  <c r="S69" i="1"/>
  <c r="S70" i="1"/>
  <c r="S71" i="1"/>
  <c r="S72" i="1"/>
  <c r="S73" i="1"/>
  <c r="S74" i="1"/>
  <c r="S75" i="1"/>
  <c r="S46" i="1"/>
  <c r="S47" i="1"/>
  <c r="S48" i="1"/>
  <c r="S49" i="1"/>
  <c r="S50" i="1"/>
  <c r="S51" i="1"/>
  <c r="S52" i="1"/>
  <c r="S53" i="1"/>
  <c r="S54" i="1"/>
  <c r="S55" i="1"/>
  <c r="S56" i="1"/>
  <c r="S57" i="1"/>
  <c r="S58" i="1"/>
  <c r="S59" i="1"/>
  <c r="S60" i="1"/>
  <c r="S61" i="1"/>
  <c r="S62" i="1"/>
  <c r="S63" i="1"/>
  <c r="S64" i="1"/>
  <c r="S65" i="1"/>
  <c r="S66" i="1"/>
  <c r="S67" i="1"/>
  <c r="S31" i="1"/>
  <c r="S32" i="1"/>
  <c r="S33" i="1"/>
  <c r="S34" i="1"/>
  <c r="S35" i="1"/>
  <c r="S36" i="1"/>
  <c r="S37" i="1"/>
  <c r="S38" i="1"/>
  <c r="S39" i="1"/>
  <c r="S40" i="1"/>
  <c r="S41" i="1"/>
  <c r="S42" i="1"/>
  <c r="S43" i="1"/>
  <c r="S44" i="1"/>
  <c r="S45"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2" i="1"/>
  <c r="K2"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 i="1"/>
  <c r="M6" i="1"/>
  <c r="M7" i="1"/>
  <c r="M8" i="1"/>
  <c r="M9" i="1"/>
  <c r="M10" i="1"/>
  <c r="M11" i="1"/>
  <c r="M12" i="1"/>
  <c r="M13" i="1"/>
  <c r="M14" i="1"/>
  <c r="M3" i="1"/>
  <c r="M4" i="1"/>
  <c r="M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88" i="1"/>
  <c r="K89" i="1"/>
  <c r="K90" i="1"/>
  <c r="K91" i="1"/>
  <c r="K92" i="1"/>
  <c r="K93" i="1"/>
  <c r="K94" i="1"/>
  <c r="K95" i="1"/>
  <c r="K96" i="1"/>
  <c r="K97" i="1"/>
  <c r="K98" i="1"/>
  <c r="K99" i="1"/>
  <c r="K100" i="1"/>
  <c r="K101" i="1"/>
  <c r="K102" i="1"/>
  <c r="K103" i="1"/>
  <c r="K104" i="1"/>
  <c r="K105" i="1"/>
  <c r="K106" i="1"/>
  <c r="K107" i="1"/>
  <c r="K108" i="1"/>
  <c r="K109" i="1"/>
  <c r="K110" i="1"/>
  <c r="K111" i="1"/>
  <c r="K112" i="1"/>
  <c r="K72" i="1"/>
  <c r="K73" i="1"/>
  <c r="K74" i="1"/>
  <c r="K75" i="1"/>
  <c r="K76" i="1"/>
  <c r="K77" i="1"/>
  <c r="K78" i="1"/>
  <c r="K79" i="1"/>
  <c r="K80" i="1"/>
  <c r="K81" i="1"/>
  <c r="K82" i="1"/>
  <c r="K83" i="1"/>
  <c r="K84" i="1"/>
  <c r="K85" i="1"/>
  <c r="K86" i="1"/>
  <c r="K87" i="1"/>
  <c r="K53" i="1"/>
  <c r="K54" i="1"/>
  <c r="K55" i="1"/>
  <c r="K56" i="1"/>
  <c r="K57" i="1"/>
  <c r="K58" i="1"/>
  <c r="K59" i="1"/>
  <c r="K60" i="1"/>
  <c r="K61" i="1"/>
  <c r="K62" i="1"/>
  <c r="K63" i="1"/>
  <c r="K64" i="1"/>
  <c r="K65" i="1"/>
  <c r="K66" i="1"/>
  <c r="K67" i="1"/>
  <c r="K68" i="1"/>
  <c r="K69" i="1"/>
  <c r="K70" i="1"/>
  <c r="K71" i="1"/>
  <c r="K37" i="1"/>
  <c r="K38" i="1"/>
  <c r="K39" i="1"/>
  <c r="K40" i="1"/>
  <c r="K41" i="1"/>
  <c r="K42" i="1"/>
  <c r="K43" i="1"/>
  <c r="K44" i="1"/>
  <c r="K45" i="1"/>
  <c r="K46" i="1"/>
  <c r="K47" i="1"/>
  <c r="K48" i="1"/>
  <c r="K49" i="1"/>
  <c r="K50" i="1"/>
  <c r="K51" i="1"/>
  <c r="K52" i="1"/>
  <c r="K16" i="1"/>
  <c r="K17" i="1"/>
  <c r="K18" i="1"/>
  <c r="K19" i="1"/>
  <c r="K20" i="1"/>
  <c r="K21" i="1"/>
  <c r="K22" i="1"/>
  <c r="K23" i="1"/>
  <c r="K24" i="1"/>
  <c r="K25" i="1"/>
  <c r="K26" i="1"/>
  <c r="K27" i="1"/>
  <c r="K28" i="1"/>
  <c r="K29" i="1"/>
  <c r="K30" i="1"/>
  <c r="K31" i="1"/>
  <c r="K32" i="1"/>
  <c r="K33" i="1"/>
  <c r="K34" i="1"/>
  <c r="K35" i="1"/>
  <c r="K36" i="1"/>
  <c r="K3" i="1"/>
  <c r="K4" i="1"/>
  <c r="K5" i="1"/>
  <c r="K6" i="1"/>
  <c r="K7" i="1"/>
  <c r="K8" i="1"/>
  <c r="K9" i="1"/>
  <c r="K10" i="1"/>
  <c r="K11" i="1"/>
  <c r="K12" i="1"/>
  <c r="K13" i="1"/>
  <c r="K14" i="1"/>
  <c r="K15" i="1"/>
  <c r="AE7" i="3"/>
  <c r="AE9" i="3"/>
  <c r="AE8" i="3"/>
</calcChain>
</file>

<file path=xl/sharedStrings.xml><?xml version="1.0" encoding="utf-8"?>
<sst xmlns="http://schemas.openxmlformats.org/spreadsheetml/2006/main" count="5090" uniqueCount="605">
  <si>
    <t>Record_ID</t>
  </si>
  <si>
    <t>Date</t>
  </si>
  <si>
    <t>Platform</t>
  </si>
  <si>
    <t>Content_Type</t>
  </si>
  <si>
    <t>Media_Format</t>
  </si>
  <si>
    <t>Source_Channel</t>
  </si>
  <si>
    <t>Region</t>
  </si>
  <si>
    <t>Fake_Probability(%)</t>
  </si>
  <si>
    <t>Confidence_Score(%)</t>
  </si>
  <si>
    <t>AI_Generated</t>
  </si>
  <si>
    <t>Deepfake_Score</t>
  </si>
  <si>
    <t>Metadata_Anomaly</t>
  </si>
  <si>
    <t>Engagement_Count</t>
  </si>
  <si>
    <t>Viral_Reach</t>
  </si>
  <si>
    <t>Flagged_By</t>
  </si>
  <si>
    <t>Verified_Label</t>
  </si>
  <si>
    <t>RD-0001</t>
  </si>
  <si>
    <t>Twitter/X</t>
  </si>
  <si>
    <t>Image</t>
  </si>
  <si>
    <t>GIF</t>
  </si>
  <si>
    <t>Independent_Creator</t>
  </si>
  <si>
    <t>South Asia</t>
  </si>
  <si>
    <t>No</t>
  </si>
  <si>
    <t>Partial</t>
  </si>
  <si>
    <t>Automated_System</t>
  </si>
  <si>
    <t>REAL</t>
  </si>
  <si>
    <t>RD-0002</t>
  </si>
  <si>
    <t>Facebook</t>
  </si>
  <si>
    <t>PNG</t>
  </si>
  <si>
    <t>Middle East</t>
  </si>
  <si>
    <t>Yes</t>
  </si>
  <si>
    <t>Human_Reviewer</t>
  </si>
  <si>
    <t>UNCERTAIN</t>
  </si>
  <si>
    <t>RD-0003</t>
  </si>
  <si>
    <t>TikTok</t>
  </si>
  <si>
    <t>MP3</t>
  </si>
  <si>
    <t>Celebrity</t>
  </si>
  <si>
    <t>Southeast Asia</t>
  </si>
  <si>
    <t>RD-0004</t>
  </si>
  <si>
    <t>LinkedIn</t>
  </si>
  <si>
    <t>Audio</t>
  </si>
  <si>
    <t>News_Outlet</t>
  </si>
  <si>
    <t>Africa</t>
  </si>
  <si>
    <t>Maybe</t>
  </si>
  <si>
    <t>Partner_API</t>
  </si>
  <si>
    <t>RD-0005</t>
  </si>
  <si>
    <t>YouTube</t>
  </si>
  <si>
    <t>JPEG</t>
  </si>
  <si>
    <t>FAKE</t>
  </si>
  <si>
    <t>RD-0006</t>
  </si>
  <si>
    <t>Video</t>
  </si>
  <si>
    <t>WAV</t>
  </si>
  <si>
    <t>Bot_Network</t>
  </si>
  <si>
    <t>RD-0007</t>
  </si>
  <si>
    <t>Reddit</t>
  </si>
  <si>
    <t>Text</t>
  </si>
  <si>
    <t>Community_Report</t>
  </si>
  <si>
    <t>RD-0008</t>
  </si>
  <si>
    <t>Verified_Org</t>
  </si>
  <si>
    <t>RD-0009</t>
  </si>
  <si>
    <t>Composite</t>
  </si>
  <si>
    <t>AI_Model</t>
  </si>
  <si>
    <t>RD-0010</t>
  </si>
  <si>
    <t>RD-0011</t>
  </si>
  <si>
    <t>Europe</t>
  </si>
  <si>
    <t>RD-0012</t>
  </si>
  <si>
    <t>RD-0013</t>
  </si>
  <si>
    <t>North America</t>
  </si>
  <si>
    <t>RD-0014</t>
  </si>
  <si>
    <t>Instagram</t>
  </si>
  <si>
    <t>RD-0015</t>
  </si>
  <si>
    <t>WEBM</t>
  </si>
  <si>
    <t>RD-0016</t>
  </si>
  <si>
    <t>MP4</t>
  </si>
  <si>
    <t>Latin America</t>
  </si>
  <si>
    <t>RD-0017</t>
  </si>
  <si>
    <t>Anonymous</t>
  </si>
  <si>
    <t>RD-0018</t>
  </si>
  <si>
    <t>Telegram</t>
  </si>
  <si>
    <t>RD-0019</t>
  </si>
  <si>
    <t>RD-0020</t>
  </si>
  <si>
    <t>RD-0021</t>
  </si>
  <si>
    <t>RD-0022</t>
  </si>
  <si>
    <t>RD-0023</t>
  </si>
  <si>
    <t>RD-0024</t>
  </si>
  <si>
    <t>RD-0025</t>
  </si>
  <si>
    <t>RD-0026</t>
  </si>
  <si>
    <t>RD-0027</t>
  </si>
  <si>
    <t>PDF</t>
  </si>
  <si>
    <t>RD-0028</t>
  </si>
  <si>
    <t>RD-0029</t>
  </si>
  <si>
    <t>RD-0030</t>
  </si>
  <si>
    <t>RD-0031</t>
  </si>
  <si>
    <t>RD-0032</t>
  </si>
  <si>
    <t>RD-0033</t>
  </si>
  <si>
    <t>RD-0034</t>
  </si>
  <si>
    <t>RD-0035</t>
  </si>
  <si>
    <t>RD-0036</t>
  </si>
  <si>
    <t>RD-0037</t>
  </si>
  <si>
    <t>RD-0038</t>
  </si>
  <si>
    <t>RD-0039</t>
  </si>
  <si>
    <t>RD-0040</t>
  </si>
  <si>
    <t>RD-0041</t>
  </si>
  <si>
    <t>RD-0042</t>
  </si>
  <si>
    <t>RD-0043</t>
  </si>
  <si>
    <t>RD-0044</t>
  </si>
  <si>
    <t>RD-0045</t>
  </si>
  <si>
    <t>RD-0046</t>
  </si>
  <si>
    <t>RD-0047</t>
  </si>
  <si>
    <t>RD-0048</t>
  </si>
  <si>
    <t>RD-0049</t>
  </si>
  <si>
    <t>RD-0050</t>
  </si>
  <si>
    <t>RD-0051</t>
  </si>
  <si>
    <t>RD-0052</t>
  </si>
  <si>
    <t>RD-0053</t>
  </si>
  <si>
    <t>RD-0054</t>
  </si>
  <si>
    <t>RD-0055</t>
  </si>
  <si>
    <t>RD-0056</t>
  </si>
  <si>
    <t>RD-0057</t>
  </si>
  <si>
    <t>RD-0058</t>
  </si>
  <si>
    <t>RD-0059</t>
  </si>
  <si>
    <t>RD-0060</t>
  </si>
  <si>
    <t>RD-0061</t>
  </si>
  <si>
    <t>RD-0062</t>
  </si>
  <si>
    <t>RD-0063</t>
  </si>
  <si>
    <t>RD-0064</t>
  </si>
  <si>
    <t>RD-0065</t>
  </si>
  <si>
    <t>RD-0066</t>
  </si>
  <si>
    <t>RD-0067</t>
  </si>
  <si>
    <t>RD-0068</t>
  </si>
  <si>
    <t>RD-0069</t>
  </si>
  <si>
    <t>RD-0070</t>
  </si>
  <si>
    <t>RD-0071</t>
  </si>
  <si>
    <t>RD-0072</t>
  </si>
  <si>
    <t>RD-0073</t>
  </si>
  <si>
    <t>RD-0074</t>
  </si>
  <si>
    <t>RD-0075</t>
  </si>
  <si>
    <t>RD-0076</t>
  </si>
  <si>
    <t>RD-0077</t>
  </si>
  <si>
    <t>RD-0078</t>
  </si>
  <si>
    <t>RD-0079</t>
  </si>
  <si>
    <t>RD-0080</t>
  </si>
  <si>
    <t>RD-0081</t>
  </si>
  <si>
    <t>RD-0082</t>
  </si>
  <si>
    <t>RD-0083</t>
  </si>
  <si>
    <t>RD-0084</t>
  </si>
  <si>
    <t>RD-0085</t>
  </si>
  <si>
    <t>RD-0086</t>
  </si>
  <si>
    <t>RD-0087</t>
  </si>
  <si>
    <t>RD-0088</t>
  </si>
  <si>
    <t>RD-0089</t>
  </si>
  <si>
    <t>RD-0090</t>
  </si>
  <si>
    <t>RD-0091</t>
  </si>
  <si>
    <t>RD-0092</t>
  </si>
  <si>
    <t>RD-0093</t>
  </si>
  <si>
    <t>RD-0094</t>
  </si>
  <si>
    <t>RD-0095</t>
  </si>
  <si>
    <t>RD-0096</t>
  </si>
  <si>
    <t>RD-0097</t>
  </si>
  <si>
    <t>RD-0098</t>
  </si>
  <si>
    <t>RD-0099</t>
  </si>
  <si>
    <t>RD-0100</t>
  </si>
  <si>
    <t>RD-0101</t>
  </si>
  <si>
    <t>RD-0102</t>
  </si>
  <si>
    <t>RD-0103</t>
  </si>
  <si>
    <t>RD-0104</t>
  </si>
  <si>
    <t>RD-0105</t>
  </si>
  <si>
    <t>RD-0106</t>
  </si>
  <si>
    <t>RD-0107</t>
  </si>
  <si>
    <t>RD-0108</t>
  </si>
  <si>
    <t>RD-0109</t>
  </si>
  <si>
    <t>RD-0110</t>
  </si>
  <si>
    <t>RD-0111</t>
  </si>
  <si>
    <t>RD-0112</t>
  </si>
  <si>
    <t>RD-0113</t>
  </si>
  <si>
    <t>RD-0114</t>
  </si>
  <si>
    <t>RD-0115</t>
  </si>
  <si>
    <t>RD-0116</t>
  </si>
  <si>
    <t>RD-0117</t>
  </si>
  <si>
    <t>RD-0118</t>
  </si>
  <si>
    <t>RD-0119</t>
  </si>
  <si>
    <t>RD-0120</t>
  </si>
  <si>
    <t>RD-0121</t>
  </si>
  <si>
    <t>RD-0122</t>
  </si>
  <si>
    <t>RD-0123</t>
  </si>
  <si>
    <t>RD-0124</t>
  </si>
  <si>
    <t>RD-0125</t>
  </si>
  <si>
    <t>RD-0126</t>
  </si>
  <si>
    <t>RD-0127</t>
  </si>
  <si>
    <t>RD-0128</t>
  </si>
  <si>
    <t>RD-0129</t>
  </si>
  <si>
    <t>RD-0130</t>
  </si>
  <si>
    <t>RD-0131</t>
  </si>
  <si>
    <t>RD-0132</t>
  </si>
  <si>
    <t>RD-0133</t>
  </si>
  <si>
    <t>RD-0134</t>
  </si>
  <si>
    <t>RD-0135</t>
  </si>
  <si>
    <t>RD-0136</t>
  </si>
  <si>
    <t>RD-0137</t>
  </si>
  <si>
    <t>RD-0138</t>
  </si>
  <si>
    <t>RD-0139</t>
  </si>
  <si>
    <t>RD-0140</t>
  </si>
  <si>
    <t>RD-0141</t>
  </si>
  <si>
    <t>RD-0142</t>
  </si>
  <si>
    <t>RD-0143</t>
  </si>
  <si>
    <t>RD-0144</t>
  </si>
  <si>
    <t>RD-0145</t>
  </si>
  <si>
    <t>RD-0146</t>
  </si>
  <si>
    <t>RD-0147</t>
  </si>
  <si>
    <t>RD-0148</t>
  </si>
  <si>
    <t>RD-0149</t>
  </si>
  <si>
    <t>RD-0150</t>
  </si>
  <si>
    <t>RD-0151</t>
  </si>
  <si>
    <t>RD-0152</t>
  </si>
  <si>
    <t>RD-0153</t>
  </si>
  <si>
    <t>RD-0154</t>
  </si>
  <si>
    <t>RD-0155</t>
  </si>
  <si>
    <t>RD-0156</t>
  </si>
  <si>
    <t>RD-0157</t>
  </si>
  <si>
    <t>RD-0158</t>
  </si>
  <si>
    <t>RD-0159</t>
  </si>
  <si>
    <t>RD-0160</t>
  </si>
  <si>
    <t>RD-0161</t>
  </si>
  <si>
    <t>RD-0162</t>
  </si>
  <si>
    <t>RD-0163</t>
  </si>
  <si>
    <t>RD-0164</t>
  </si>
  <si>
    <t>RD-0165</t>
  </si>
  <si>
    <t>RD-0166</t>
  </si>
  <si>
    <t>RD-0167</t>
  </si>
  <si>
    <t>RD-0168</t>
  </si>
  <si>
    <t>RD-0169</t>
  </si>
  <si>
    <t>RD-0170</t>
  </si>
  <si>
    <t>RD-0171</t>
  </si>
  <si>
    <t>RD-0172</t>
  </si>
  <si>
    <t>RD-0173</t>
  </si>
  <si>
    <t>RD-0174</t>
  </si>
  <si>
    <t>RD-0175</t>
  </si>
  <si>
    <t>RD-0176</t>
  </si>
  <si>
    <t>RD-0177</t>
  </si>
  <si>
    <t>RD-0178</t>
  </si>
  <si>
    <t>RD-0179</t>
  </si>
  <si>
    <t>RD-0180</t>
  </si>
  <si>
    <t>RD-0181</t>
  </si>
  <si>
    <t>RD-0182</t>
  </si>
  <si>
    <t>RD-0183</t>
  </si>
  <si>
    <t>RD-0184</t>
  </si>
  <si>
    <t>RD-0185</t>
  </si>
  <si>
    <t>RD-0186</t>
  </si>
  <si>
    <t>RD-0187</t>
  </si>
  <si>
    <t>RD-0188</t>
  </si>
  <si>
    <t>RD-0189</t>
  </si>
  <si>
    <t>RD-0190</t>
  </si>
  <si>
    <t>RD-0191</t>
  </si>
  <si>
    <t>RD-0192</t>
  </si>
  <si>
    <t>RD-0193</t>
  </si>
  <si>
    <t>RD-0194</t>
  </si>
  <si>
    <t>RD-0195</t>
  </si>
  <si>
    <t>RD-0196</t>
  </si>
  <si>
    <t>RD-0197</t>
  </si>
  <si>
    <t>RD-0198</t>
  </si>
  <si>
    <t>RD-0199</t>
  </si>
  <si>
    <t>RD-0200</t>
  </si>
  <si>
    <t>RD-0201</t>
  </si>
  <si>
    <t>RD-0202</t>
  </si>
  <si>
    <t>RD-0203</t>
  </si>
  <si>
    <t>RD-0204</t>
  </si>
  <si>
    <t>RD-0205</t>
  </si>
  <si>
    <t>RD-0206</t>
  </si>
  <si>
    <t>RD-0207</t>
  </si>
  <si>
    <t>RD-0208</t>
  </si>
  <si>
    <t>RD-0209</t>
  </si>
  <si>
    <t>RD-0210</t>
  </si>
  <si>
    <t>RD-0211</t>
  </si>
  <si>
    <t>RD-0212</t>
  </si>
  <si>
    <t>RD-0213</t>
  </si>
  <si>
    <t>RD-0214</t>
  </si>
  <si>
    <t>RD-0215</t>
  </si>
  <si>
    <t>RD-0216</t>
  </si>
  <si>
    <t>RD-0217</t>
  </si>
  <si>
    <t>RD-0218</t>
  </si>
  <si>
    <t>RD-0219</t>
  </si>
  <si>
    <t>RD-0220</t>
  </si>
  <si>
    <t>RD-0221</t>
  </si>
  <si>
    <t>RD-0222</t>
  </si>
  <si>
    <t>RD-0223</t>
  </si>
  <si>
    <t>RD-0224</t>
  </si>
  <si>
    <t>RD-0225</t>
  </si>
  <si>
    <t>RD-0226</t>
  </si>
  <si>
    <t>RD-0227</t>
  </si>
  <si>
    <t>RD-0228</t>
  </si>
  <si>
    <t>RD-0229</t>
  </si>
  <si>
    <t>RD-0230</t>
  </si>
  <si>
    <t>RD-0231</t>
  </si>
  <si>
    <t>RD-0232</t>
  </si>
  <si>
    <t>RD-0233</t>
  </si>
  <si>
    <t>RD-0234</t>
  </si>
  <si>
    <t>RD-0235</t>
  </si>
  <si>
    <t>RD-0236</t>
  </si>
  <si>
    <t>RD-0237</t>
  </si>
  <si>
    <t>RD-0238</t>
  </si>
  <si>
    <t>RD-0239</t>
  </si>
  <si>
    <t>RD-0240</t>
  </si>
  <si>
    <t>RD-0241</t>
  </si>
  <si>
    <t>RD-0242</t>
  </si>
  <si>
    <t>RD-0243</t>
  </si>
  <si>
    <t>RD-0244</t>
  </si>
  <si>
    <t>RD-0245</t>
  </si>
  <si>
    <t>RD-0246</t>
  </si>
  <si>
    <t>RD-0247</t>
  </si>
  <si>
    <t>RD-0248</t>
  </si>
  <si>
    <t>RD-0249</t>
  </si>
  <si>
    <t>RD-0250</t>
  </si>
  <si>
    <t>RD-0251</t>
  </si>
  <si>
    <t>RD-0252</t>
  </si>
  <si>
    <t>RD-0253</t>
  </si>
  <si>
    <t>RD-0254</t>
  </si>
  <si>
    <t>RD-0255</t>
  </si>
  <si>
    <t>RD-0256</t>
  </si>
  <si>
    <t>RD-0257</t>
  </si>
  <si>
    <t>RD-0258</t>
  </si>
  <si>
    <t>RD-0259</t>
  </si>
  <si>
    <t>RD-0260</t>
  </si>
  <si>
    <t>RD-0261</t>
  </si>
  <si>
    <t>RD-0262</t>
  </si>
  <si>
    <t>RD-0263</t>
  </si>
  <si>
    <t>RD-0264</t>
  </si>
  <si>
    <t>RD-0265</t>
  </si>
  <si>
    <t>RD-0266</t>
  </si>
  <si>
    <t>RD-0267</t>
  </si>
  <si>
    <t>RD-0268</t>
  </si>
  <si>
    <t>RD-0269</t>
  </si>
  <si>
    <t>RD-0270</t>
  </si>
  <si>
    <t>RD-0271</t>
  </si>
  <si>
    <t>RD-0272</t>
  </si>
  <si>
    <t>RD-0273</t>
  </si>
  <si>
    <t>RD-0274</t>
  </si>
  <si>
    <t>RD-0275</t>
  </si>
  <si>
    <t>RD-0276</t>
  </si>
  <si>
    <t>RD-0277</t>
  </si>
  <si>
    <t>RD-0278</t>
  </si>
  <si>
    <t>RD-0279</t>
  </si>
  <si>
    <t>RD-0280</t>
  </si>
  <si>
    <t>RD-0281</t>
  </si>
  <si>
    <t>RD-0282</t>
  </si>
  <si>
    <t>RD-0283</t>
  </si>
  <si>
    <t>RD-0284</t>
  </si>
  <si>
    <t>RD-0285</t>
  </si>
  <si>
    <t>RD-0286</t>
  </si>
  <si>
    <t>RD-0287</t>
  </si>
  <si>
    <t>RD-0288</t>
  </si>
  <si>
    <t>RD-0289</t>
  </si>
  <si>
    <t>RD-0290</t>
  </si>
  <si>
    <t>RD-0291</t>
  </si>
  <si>
    <t>RD-0292</t>
  </si>
  <si>
    <t>RD-0293</t>
  </si>
  <si>
    <t>RD-0294</t>
  </si>
  <si>
    <t>RD-0295</t>
  </si>
  <si>
    <t>RD-0296</t>
  </si>
  <si>
    <t>RD-0297</t>
  </si>
  <si>
    <t>RD-0298</t>
  </si>
  <si>
    <t>RD-0299</t>
  </si>
  <si>
    <t>RD-0300</t>
  </si>
  <si>
    <t>RD-0301</t>
  </si>
  <si>
    <t>RD-0302</t>
  </si>
  <si>
    <t>RD-0303</t>
  </si>
  <si>
    <t>RD-0304</t>
  </si>
  <si>
    <t>RD-0305</t>
  </si>
  <si>
    <t>RD-0306</t>
  </si>
  <si>
    <t>RD-0307</t>
  </si>
  <si>
    <t>RD-0308</t>
  </si>
  <si>
    <t>RD-0309</t>
  </si>
  <si>
    <t>RD-0310</t>
  </si>
  <si>
    <t>RD-0311</t>
  </si>
  <si>
    <t>RD-0312</t>
  </si>
  <si>
    <t>RD-0313</t>
  </si>
  <si>
    <t>RD-0314</t>
  </si>
  <si>
    <t>RD-0315</t>
  </si>
  <si>
    <t>RD-0316</t>
  </si>
  <si>
    <t>RD-0317</t>
  </si>
  <si>
    <t>RD-0318</t>
  </si>
  <si>
    <t>RD-0319</t>
  </si>
  <si>
    <t>RD-0320</t>
  </si>
  <si>
    <t>RD-0321</t>
  </si>
  <si>
    <t>RD-0322</t>
  </si>
  <si>
    <t>RD-0323</t>
  </si>
  <si>
    <t>RD-0324</t>
  </si>
  <si>
    <t>RD-0325</t>
  </si>
  <si>
    <t>RD-0326</t>
  </si>
  <si>
    <t>RD-0327</t>
  </si>
  <si>
    <t>RD-0328</t>
  </si>
  <si>
    <t>RD-0329</t>
  </si>
  <si>
    <t>RD-0330</t>
  </si>
  <si>
    <t>RD-0331</t>
  </si>
  <si>
    <t>RD-0332</t>
  </si>
  <si>
    <t>RD-0333</t>
  </si>
  <si>
    <t>RD-0334</t>
  </si>
  <si>
    <t>RD-0335</t>
  </si>
  <si>
    <t>RD-0336</t>
  </si>
  <si>
    <t>RD-0337</t>
  </si>
  <si>
    <t>RD-0338</t>
  </si>
  <si>
    <t>RD-0339</t>
  </si>
  <si>
    <t>RD-0340</t>
  </si>
  <si>
    <t>RD-0341</t>
  </si>
  <si>
    <t>RD-0342</t>
  </si>
  <si>
    <t>RD-0343</t>
  </si>
  <si>
    <t>RD-0344</t>
  </si>
  <si>
    <t>RD-0345</t>
  </si>
  <si>
    <t>RD-0346</t>
  </si>
  <si>
    <t>RD-0347</t>
  </si>
  <si>
    <t>RD-0348</t>
  </si>
  <si>
    <t>RD-0349</t>
  </si>
  <si>
    <t>RD-0350</t>
  </si>
  <si>
    <t>RD-0351</t>
  </si>
  <si>
    <t>RD-0352</t>
  </si>
  <si>
    <t>RD-0353</t>
  </si>
  <si>
    <t>RD-0354</t>
  </si>
  <si>
    <t>RD-0355</t>
  </si>
  <si>
    <t>RD-0356</t>
  </si>
  <si>
    <t>RD-0357</t>
  </si>
  <si>
    <t>RD-0358</t>
  </si>
  <si>
    <t>RD-0359</t>
  </si>
  <si>
    <t>RD-0360</t>
  </si>
  <si>
    <t>RD-0361</t>
  </si>
  <si>
    <t>RD-0362</t>
  </si>
  <si>
    <t>RD-0363</t>
  </si>
  <si>
    <t>RD-0364</t>
  </si>
  <si>
    <t>RD-0365</t>
  </si>
  <si>
    <t>RD-0366</t>
  </si>
  <si>
    <t>RD-0367</t>
  </si>
  <si>
    <t>RD-0368</t>
  </si>
  <si>
    <t>RD-0369</t>
  </si>
  <si>
    <t>RD-0370</t>
  </si>
  <si>
    <t>RD-0371</t>
  </si>
  <si>
    <t>RD-0372</t>
  </si>
  <si>
    <t>RD-0373</t>
  </si>
  <si>
    <t>RD-0374</t>
  </si>
  <si>
    <t>RD-0375</t>
  </si>
  <si>
    <t>RD-0376</t>
  </si>
  <si>
    <t>RD-0377</t>
  </si>
  <si>
    <t>RD-0378</t>
  </si>
  <si>
    <t>RD-0379</t>
  </si>
  <si>
    <t>RD-0380</t>
  </si>
  <si>
    <t>RD-0381</t>
  </si>
  <si>
    <t>RD-0382</t>
  </si>
  <si>
    <t>RD-0383</t>
  </si>
  <si>
    <t>RD-0384</t>
  </si>
  <si>
    <t>RD-0385</t>
  </si>
  <si>
    <t>RD-0386</t>
  </si>
  <si>
    <t>RD-0387</t>
  </si>
  <si>
    <t>RD-0388</t>
  </si>
  <si>
    <t>RD-0389</t>
  </si>
  <si>
    <t>RD-0390</t>
  </si>
  <si>
    <t>RD-0391</t>
  </si>
  <si>
    <t>RD-0392</t>
  </si>
  <si>
    <t>RD-0393</t>
  </si>
  <si>
    <t>RD-0394</t>
  </si>
  <si>
    <t>RD-0395</t>
  </si>
  <si>
    <t>RD-0396</t>
  </si>
  <si>
    <t>RD-0397</t>
  </si>
  <si>
    <t>RD-0398</t>
  </si>
  <si>
    <t>RD-0399</t>
  </si>
  <si>
    <t>RD-0400</t>
  </si>
  <si>
    <t>RD-0401</t>
  </si>
  <si>
    <t>RD-0402</t>
  </si>
  <si>
    <t>RD-0403</t>
  </si>
  <si>
    <t>RD-0404</t>
  </si>
  <si>
    <t>RD-0405</t>
  </si>
  <si>
    <t>RD-0406</t>
  </si>
  <si>
    <t>RD-0407</t>
  </si>
  <si>
    <t>RD-0408</t>
  </si>
  <si>
    <t>RD-0409</t>
  </si>
  <si>
    <t>RD-0410</t>
  </si>
  <si>
    <t>RD-0411</t>
  </si>
  <si>
    <t>RD-0412</t>
  </si>
  <si>
    <t>RD-0413</t>
  </si>
  <si>
    <t>RD-0414</t>
  </si>
  <si>
    <t>RD-0415</t>
  </si>
  <si>
    <t>RD-0416</t>
  </si>
  <si>
    <t>RD-0417</t>
  </si>
  <si>
    <t>RD-0418</t>
  </si>
  <si>
    <t>RD-0419</t>
  </si>
  <si>
    <t>RD-0420</t>
  </si>
  <si>
    <t>RD-0421</t>
  </si>
  <si>
    <t>RD-0422</t>
  </si>
  <si>
    <t>RD-0423</t>
  </si>
  <si>
    <t>RD-0424</t>
  </si>
  <si>
    <t>RD-0425</t>
  </si>
  <si>
    <t>RD-0426</t>
  </si>
  <si>
    <t>RD-0427</t>
  </si>
  <si>
    <t>RD-0428</t>
  </si>
  <si>
    <t>RD-0429</t>
  </si>
  <si>
    <t>RD-0430</t>
  </si>
  <si>
    <t>RD-0431</t>
  </si>
  <si>
    <t>RD-0432</t>
  </si>
  <si>
    <t>RD-0433</t>
  </si>
  <si>
    <t>RD-0434</t>
  </si>
  <si>
    <t>RD-0435</t>
  </si>
  <si>
    <t>RD-0436</t>
  </si>
  <si>
    <t>RD-0437</t>
  </si>
  <si>
    <t>RD-0438</t>
  </si>
  <si>
    <t>RD-0439</t>
  </si>
  <si>
    <t>RD-0440</t>
  </si>
  <si>
    <t>RD-0441</t>
  </si>
  <si>
    <t>RD-0442</t>
  </si>
  <si>
    <t>RD-0443</t>
  </si>
  <si>
    <t>RD-0444</t>
  </si>
  <si>
    <t>RD-0445</t>
  </si>
  <si>
    <t>RD-0446</t>
  </si>
  <si>
    <t>RD-0447</t>
  </si>
  <si>
    <t>RD-0448</t>
  </si>
  <si>
    <t>RD-0449</t>
  </si>
  <si>
    <t>RD-0450</t>
  </si>
  <si>
    <t>RD-0451</t>
  </si>
  <si>
    <t>RD-0452</t>
  </si>
  <si>
    <t>RD-0453</t>
  </si>
  <si>
    <t>RD-0454</t>
  </si>
  <si>
    <t>RD-0455</t>
  </si>
  <si>
    <t>RD-0456</t>
  </si>
  <si>
    <t>RD-0457</t>
  </si>
  <si>
    <t>RD-0458</t>
  </si>
  <si>
    <t>RD-0459</t>
  </si>
  <si>
    <t>RD-0460</t>
  </si>
  <si>
    <t>RD-0461</t>
  </si>
  <si>
    <t>RD-0462</t>
  </si>
  <si>
    <t>RD-0463</t>
  </si>
  <si>
    <t>RD-0464</t>
  </si>
  <si>
    <t>RD-0465</t>
  </si>
  <si>
    <t>RD-0466</t>
  </si>
  <si>
    <t>RD-0467</t>
  </si>
  <si>
    <t>RD-0468</t>
  </si>
  <si>
    <t>RD-0469</t>
  </si>
  <si>
    <t>RD-0470</t>
  </si>
  <si>
    <t>RD-0471</t>
  </si>
  <si>
    <t>RD-0472</t>
  </si>
  <si>
    <t>RD-0473</t>
  </si>
  <si>
    <t>RD-0474</t>
  </si>
  <si>
    <t>RD-0475</t>
  </si>
  <si>
    <t>RD-0476</t>
  </si>
  <si>
    <t>RD-0477</t>
  </si>
  <si>
    <t>RD-0478</t>
  </si>
  <si>
    <t>RD-0479</t>
  </si>
  <si>
    <t>RD-0480</t>
  </si>
  <si>
    <t>RD-0481</t>
  </si>
  <si>
    <t>RD-0482</t>
  </si>
  <si>
    <t>RD-0483</t>
  </si>
  <si>
    <t>RD-0484</t>
  </si>
  <si>
    <t>RD-0485</t>
  </si>
  <si>
    <t>RD-0486</t>
  </si>
  <si>
    <t>RD-0487</t>
  </si>
  <si>
    <t>RD-0488</t>
  </si>
  <si>
    <t>RD-0489</t>
  </si>
  <si>
    <t>RD-0490</t>
  </si>
  <si>
    <t>RD-0491</t>
  </si>
  <si>
    <t>RD-0492</t>
  </si>
  <si>
    <t>RD-0493</t>
  </si>
  <si>
    <t>RD-0494</t>
  </si>
  <si>
    <t>RD-0495</t>
  </si>
  <si>
    <t>RD-0496</t>
  </si>
  <si>
    <t>RD-0497</t>
  </si>
  <si>
    <t>RD-0498</t>
  </si>
  <si>
    <t>RD-0499</t>
  </si>
  <si>
    <t>RD-0500</t>
  </si>
  <si>
    <t>FAKE RISK PROBABILTY</t>
  </si>
  <si>
    <t>CONFIDENCE LEVEL</t>
  </si>
  <si>
    <t>AI CONTENT FLAG</t>
  </si>
  <si>
    <t>VIRALITY CATEGORY</t>
  </si>
  <si>
    <t xml:space="preserve">ENGAGEMENT LEVEL </t>
  </si>
  <si>
    <t>Grand Total</t>
  </si>
  <si>
    <t>Count of Record_ID</t>
  </si>
  <si>
    <t>Verified Label</t>
  </si>
  <si>
    <t>Moderate Risk</t>
  </si>
  <si>
    <t>AI Generated</t>
  </si>
  <si>
    <t>Average of Viral_Reach</t>
  </si>
  <si>
    <t>Average of Engagement_Count</t>
  </si>
  <si>
    <t>Average of Fake_Probability(%)</t>
  </si>
  <si>
    <t>High Confidence</t>
  </si>
  <si>
    <t>Moderate Confidence</t>
  </si>
  <si>
    <t>Confidence Level</t>
  </si>
  <si>
    <t>Content Type</t>
  </si>
  <si>
    <t>Jan</t>
  </si>
  <si>
    <t>Feb</t>
  </si>
  <si>
    <t>Mar</t>
  </si>
  <si>
    <t>Apr</t>
  </si>
  <si>
    <t>Jun</t>
  </si>
  <si>
    <t>Jul</t>
  </si>
  <si>
    <t>Aug</t>
  </si>
  <si>
    <t>Sep</t>
  </si>
  <si>
    <t>Oct</t>
  </si>
  <si>
    <t>Nov</t>
  </si>
  <si>
    <t>Dec</t>
  </si>
  <si>
    <t>FAKE VS REAL CONTENT DISTRIBUTION</t>
  </si>
  <si>
    <t>PLATFORM WISE FAKE PROBABILITY</t>
  </si>
  <si>
    <t>ENGAGEMENT VS FAKE CONTENT</t>
  </si>
  <si>
    <t>AI Generated vs Viral Reach</t>
  </si>
  <si>
    <t>Region-Wise Fake Trends</t>
  </si>
  <si>
    <t>Confidence vs Detection Accuracy</t>
  </si>
  <si>
    <t>CONTENT TYPE ANALYSIS</t>
  </si>
  <si>
    <t>TIME TREND ANALYSIS</t>
  </si>
  <si>
    <t>Fake Risk Category</t>
  </si>
  <si>
    <t>Months</t>
  </si>
  <si>
    <t>CHART NAME</t>
  </si>
  <si>
    <t>PERCENTAGE</t>
  </si>
  <si>
    <t xml:space="preserve">AVG </t>
  </si>
  <si>
    <t>PPT/REPORT</t>
  </si>
  <si>
    <t>SOLUTION/CONCLUSION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</si>
</sst>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amily val="2"/>
    </font>
    <font>
      <sz val="9"/>
      <name val="Arial"/>
      <family val="2"/>
    </font>
    <font>
      <b/>
      <sz val="9"/>
      <color rgb="FF375623"/>
      <name val="Arial"/>
      <family val="2"/>
    </font>
    <font>
      <b/>
      <sz val="9"/>
      <color rgb="FF7F6000"/>
      <name val="Arial"/>
      <family val="2"/>
    </font>
    <font>
      <b/>
      <sz val="9"/>
      <color rgb="FFC00000"/>
      <name val="Arial"/>
      <family val="2"/>
    </font>
    <font>
      <sz val="11"/>
      <color theme="1"/>
      <name val="Calibri"/>
      <family val="2"/>
      <scheme val="minor"/>
    </font>
    <font>
      <b/>
      <sz val="10"/>
      <color theme="2" tint="-0.89999084444715716"/>
      <name val="Arial"/>
      <family val="2"/>
    </font>
    <font>
      <b/>
      <sz val="11"/>
      <color theme="1"/>
      <name val="Calibri"/>
      <family val="2"/>
      <scheme val="minor"/>
    </font>
  </fonts>
  <fills count="10">
    <fill>
      <patternFill patternType="none"/>
    </fill>
    <fill>
      <patternFill patternType="gray125"/>
    </fill>
    <fill>
      <patternFill patternType="solid">
        <fgColor rgb="FF2E75B6"/>
        <bgColor rgb="FF4A7EBB"/>
      </patternFill>
    </fill>
    <fill>
      <patternFill patternType="solid">
        <fgColor rgb="FFFFFFFF"/>
        <bgColor rgb="FFF9F9F9"/>
      </patternFill>
    </fill>
    <fill>
      <patternFill patternType="solid">
        <fgColor rgb="FFCCFFCC"/>
        <bgColor rgb="FFD6E4F0"/>
      </patternFill>
    </fill>
    <fill>
      <patternFill patternType="solid">
        <fgColor rgb="FFD6E4F0"/>
        <bgColor rgb="FFD9D9D9"/>
      </patternFill>
    </fill>
    <fill>
      <patternFill patternType="solid">
        <fgColor rgb="FFFFF2CC"/>
        <bgColor rgb="FFFFFFAA"/>
      </patternFill>
    </fill>
    <fill>
      <patternFill patternType="solid">
        <fgColor rgb="FFFFCCCC"/>
        <bgColor rgb="FFFFD9B3"/>
      </patternFill>
    </fill>
    <fill>
      <patternFill patternType="solid">
        <fgColor rgb="FFFFFF00"/>
        <bgColor rgb="FF4A7EBB"/>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6" fillId="0" borderId="0" applyFont="0" applyFill="0" applyBorder="0" applyAlignment="0" applyProtection="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5" fillId="7" borderId="1" xfId="0" applyFont="1" applyFill="1" applyBorder="1" applyAlignment="1">
      <alignment horizontal="center" vertical="center"/>
    </xf>
    <xf numFmtId="14" fontId="1" fillId="2"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4" fontId="0" fillId="0" borderId="0" xfId="0" applyNumberFormat="1"/>
    <xf numFmtId="0" fontId="7" fillId="8" borderId="1" xfId="0" applyFont="1" applyFill="1" applyBorder="1" applyAlignment="1">
      <alignment horizontal="center" vertical="center" wrapText="1"/>
    </xf>
    <xf numFmtId="2" fontId="1" fillId="2" borderId="1" xfId="1" applyNumberFormat="1" applyFont="1" applyFill="1" applyBorder="1" applyAlignment="1">
      <alignment horizontal="center" vertical="center" wrapText="1"/>
    </xf>
    <xf numFmtId="2" fontId="2" fillId="3" borderId="1" xfId="1" applyNumberFormat="1" applyFont="1" applyFill="1" applyBorder="1" applyAlignment="1">
      <alignment horizontal="center" vertical="center"/>
    </xf>
    <xf numFmtId="2" fontId="2" fillId="5" borderId="1" xfId="1" applyNumberFormat="1" applyFont="1" applyFill="1" applyBorder="1" applyAlignment="1">
      <alignment horizontal="center" vertical="center"/>
    </xf>
    <xf numFmtId="2" fontId="0" fillId="0" borderId="0" xfId="1" applyNumberFormat="1" applyFont="1"/>
    <xf numFmtId="0" fontId="8"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8" fillId="9"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FAKE VS REAL CONTENT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080979284369114E-2"/>
              <c:y val="-3.98406374501992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358443188951638E-2"/>
              <c:y val="-4.6480743691899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329566854990579E-2"/>
              <c:y val="3.98406374501992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3C8-44EE-8189-B2F7484E1D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3C8-44EE-8189-B2F7484E1D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C8-44EE-8189-B2F7484E1D64}"/>
              </c:ext>
            </c:extLst>
          </c:dPt>
          <c:dLbls>
            <c:dLbl>
              <c:idx val="0"/>
              <c:layout>
                <c:manualLayout>
                  <c:x val="-5.3358443188951638E-2"/>
                  <c:y val="-4.6480743691899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C8-44EE-8189-B2F7484E1D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TABLE'!$A$3:$A$4</c:f>
              <c:strCache>
                <c:ptCount val="1"/>
                <c:pt idx="0">
                  <c:v>UNCERTAIN</c:v>
                </c:pt>
              </c:strCache>
            </c:strRef>
          </c:cat>
          <c:val>
            <c:numRef>
              <c:f>'PIVOT TABLE'!$B$3:$B$4</c:f>
              <c:numCache>
                <c:formatCode>General</c:formatCode>
                <c:ptCount val="1"/>
                <c:pt idx="0">
                  <c:v>17</c:v>
                </c:pt>
              </c:numCache>
            </c:numRef>
          </c:val>
          <c:extLst>
            <c:ext xmlns:c16="http://schemas.microsoft.com/office/drawing/2014/chart" uri="{C3380CC4-5D6E-409C-BE32-E72D297353CC}">
              <c16:uniqueId val="{00000000-B3C8-44EE-8189-B2F7484E1D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FAKE PROBABILTY BY PLATFORM</a:t>
            </a:r>
          </a:p>
        </c:rich>
      </c:tx>
      <c:layout>
        <c:manualLayout>
          <c:xMode val="edge"/>
          <c:yMode val="edge"/>
          <c:x val="0.15920822397200349"/>
          <c:y val="0.11934966462525518"/>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TABLE'!$A$18:$A$24</c:f>
              <c:strCache>
                <c:ptCount val="6"/>
                <c:pt idx="0">
                  <c:v>Facebook</c:v>
                </c:pt>
                <c:pt idx="1">
                  <c:v>Instagram</c:v>
                </c:pt>
                <c:pt idx="2">
                  <c:v>LinkedIn</c:v>
                </c:pt>
                <c:pt idx="3">
                  <c:v>Telegram</c:v>
                </c:pt>
                <c:pt idx="4">
                  <c:v>TikTok</c:v>
                </c:pt>
                <c:pt idx="5">
                  <c:v>Twitter/X</c:v>
                </c:pt>
              </c:strCache>
            </c:strRef>
          </c:cat>
          <c:val>
            <c:numRef>
              <c:f>'PIVOT TABLE'!$B$18:$B$24</c:f>
              <c:numCache>
                <c:formatCode>0.00</c:formatCode>
                <c:ptCount val="6"/>
                <c:pt idx="0">
                  <c:v>42.3</c:v>
                </c:pt>
                <c:pt idx="1">
                  <c:v>55.033333333333331</c:v>
                </c:pt>
                <c:pt idx="2">
                  <c:v>59.4</c:v>
                </c:pt>
                <c:pt idx="3">
                  <c:v>56.760000000000005</c:v>
                </c:pt>
                <c:pt idx="4">
                  <c:v>60.2</c:v>
                </c:pt>
                <c:pt idx="5">
                  <c:v>51.2</c:v>
                </c:pt>
              </c:numCache>
            </c:numRef>
          </c:val>
          <c:extLst>
            <c:ext xmlns:c16="http://schemas.microsoft.com/office/drawing/2014/chart" uri="{C3380CC4-5D6E-409C-BE32-E72D297353CC}">
              <c16:uniqueId val="{00000000-F3CD-4DC0-84E4-7BC534BA115B}"/>
            </c:ext>
          </c:extLst>
        </c:ser>
        <c:dLbls>
          <c:dLblPos val="inEnd"/>
          <c:showLegendKey val="0"/>
          <c:showVal val="1"/>
          <c:showCatName val="0"/>
          <c:showSerName val="0"/>
          <c:showPercent val="0"/>
          <c:showBubbleSize val="0"/>
        </c:dLbls>
        <c:gapWidth val="41"/>
        <c:axId val="1033847167"/>
        <c:axId val="979064895"/>
      </c:barChart>
      <c:catAx>
        <c:axId val="103384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79064895"/>
        <c:crosses val="autoZero"/>
        <c:auto val="1"/>
        <c:lblAlgn val="ctr"/>
        <c:lblOffset val="100"/>
        <c:noMultiLvlLbl val="0"/>
      </c:catAx>
      <c:valAx>
        <c:axId val="979064895"/>
        <c:scaling>
          <c:orientation val="minMax"/>
        </c:scaling>
        <c:delete val="1"/>
        <c:axPos val="l"/>
        <c:numFmt formatCode="0.00" sourceLinked="1"/>
        <c:majorTickMark val="none"/>
        <c:minorTickMark val="none"/>
        <c:tickLblPos val="nextTo"/>
        <c:crossAx val="103384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TABLE!PivotTable3</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Average of Engagement_Count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TABLE'!$A$37:$A$38</c:f>
              <c:strCache>
                <c:ptCount val="1"/>
                <c:pt idx="0">
                  <c:v>Moderate Risk</c:v>
                </c:pt>
              </c:strCache>
            </c:strRef>
          </c:cat>
          <c:val>
            <c:numRef>
              <c:f>'PIVOT TABLE'!$B$37:$B$38</c:f>
              <c:numCache>
                <c:formatCode>General</c:formatCode>
                <c:ptCount val="1"/>
                <c:pt idx="0">
                  <c:v>2606174.2941176472</c:v>
                </c:pt>
              </c:numCache>
            </c:numRef>
          </c:val>
          <c:extLst>
            <c:ext xmlns:c16="http://schemas.microsoft.com/office/drawing/2014/chart" uri="{C3380CC4-5D6E-409C-BE32-E72D297353CC}">
              <c16:uniqueId val="{00000000-960B-4195-B965-1276816B757C}"/>
            </c:ext>
          </c:extLst>
        </c:ser>
        <c:ser>
          <c:idx val="1"/>
          <c:order val="1"/>
          <c:tx>
            <c:strRef>
              <c:f>'PIVOT TABLE'!$C$36</c:f>
              <c:strCache>
                <c:ptCount val="1"/>
                <c:pt idx="0">
                  <c:v>Average of Viral_Reach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TABLE'!$A$37:$A$38</c:f>
              <c:strCache>
                <c:ptCount val="1"/>
                <c:pt idx="0">
                  <c:v>Moderate Risk</c:v>
                </c:pt>
              </c:strCache>
            </c:strRef>
          </c:cat>
          <c:val>
            <c:numRef>
              <c:f>'PIVOT TABLE'!$C$37:$C$38</c:f>
              <c:numCache>
                <c:formatCode>General</c:formatCode>
                <c:ptCount val="1"/>
                <c:pt idx="0">
                  <c:v>9695814.8823529407</c:v>
                </c:pt>
              </c:numCache>
            </c:numRef>
          </c:val>
          <c:extLst>
            <c:ext xmlns:c16="http://schemas.microsoft.com/office/drawing/2014/chart" uri="{C3380CC4-5D6E-409C-BE32-E72D297353CC}">
              <c16:uniqueId val="{00000001-960B-4195-B965-1276816B757C}"/>
            </c:ext>
          </c:extLst>
        </c:ser>
        <c:dLbls>
          <c:dLblPos val="inEnd"/>
          <c:showLegendKey val="0"/>
          <c:showVal val="1"/>
          <c:showCatName val="0"/>
          <c:showSerName val="0"/>
          <c:showPercent val="0"/>
          <c:showBubbleSize val="0"/>
        </c:dLbls>
        <c:gapWidth val="315"/>
        <c:overlap val="-40"/>
        <c:axId val="1101138191"/>
        <c:axId val="1101138671"/>
      </c:barChart>
      <c:catAx>
        <c:axId val="1101138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138671"/>
        <c:crosses val="autoZero"/>
        <c:auto val="1"/>
        <c:lblAlgn val="ctr"/>
        <c:lblOffset val="100"/>
        <c:noMultiLvlLbl val="0"/>
      </c:catAx>
      <c:valAx>
        <c:axId val="1101138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13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TABLE!PivotTable4</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US"/>
              <a:t>AI Generated vs Viral Reach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TABLE'!$A$54:$A$56</c:f>
              <c:strCache>
                <c:ptCount val="2"/>
                <c:pt idx="0">
                  <c:v>Maybe</c:v>
                </c:pt>
                <c:pt idx="1">
                  <c:v>Yes</c:v>
                </c:pt>
              </c:strCache>
            </c:strRef>
          </c:cat>
          <c:val>
            <c:numRef>
              <c:f>'PIVOT TABLE'!$B$54:$B$56</c:f>
              <c:numCache>
                <c:formatCode>General</c:formatCode>
                <c:ptCount val="2"/>
                <c:pt idx="0">
                  <c:v>7114160.6363636367</c:v>
                </c:pt>
                <c:pt idx="1">
                  <c:v>14428847.666666666</c:v>
                </c:pt>
              </c:numCache>
            </c:numRef>
          </c:val>
          <c:extLst>
            <c:ext xmlns:c16="http://schemas.microsoft.com/office/drawing/2014/chart" uri="{C3380CC4-5D6E-409C-BE32-E72D297353CC}">
              <c16:uniqueId val="{00000000-FE6A-443E-A91F-40C44ED5444E}"/>
            </c:ext>
          </c:extLst>
        </c:ser>
        <c:dLbls>
          <c:showLegendKey val="0"/>
          <c:showVal val="0"/>
          <c:showCatName val="0"/>
          <c:showSerName val="0"/>
          <c:showPercent val="0"/>
          <c:showBubbleSize val="0"/>
        </c:dLbls>
        <c:gapWidth val="267"/>
        <c:overlap val="-43"/>
        <c:axId val="1399748271"/>
        <c:axId val="1399748751"/>
      </c:barChart>
      <c:catAx>
        <c:axId val="13997482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399748751"/>
        <c:crosses val="autoZero"/>
        <c:auto val="1"/>
        <c:lblAlgn val="ctr"/>
        <c:lblOffset val="100"/>
        <c:noMultiLvlLbl val="0"/>
      </c:catAx>
      <c:valAx>
        <c:axId val="13997487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974827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Average of Fake_Probability(%)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TABLE'!$A$73:$A$74</c:f>
              <c:strCache>
                <c:ptCount val="1"/>
                <c:pt idx="0">
                  <c:v>Europe</c:v>
                </c:pt>
              </c:strCache>
            </c:strRef>
          </c:cat>
          <c:val>
            <c:numRef>
              <c:f>'PIVOT TABLE'!$B$73:$B$74</c:f>
              <c:numCache>
                <c:formatCode>0.00</c:formatCode>
                <c:ptCount val="1"/>
                <c:pt idx="0">
                  <c:v>55.205882352941167</c:v>
                </c:pt>
              </c:numCache>
            </c:numRef>
          </c:val>
          <c:extLst>
            <c:ext xmlns:c16="http://schemas.microsoft.com/office/drawing/2014/chart" uri="{C3380CC4-5D6E-409C-BE32-E72D297353CC}">
              <c16:uniqueId val="{00000000-DBF4-4D28-8DC4-8DEAFFA123A3}"/>
            </c:ext>
          </c:extLst>
        </c:ser>
        <c:ser>
          <c:idx val="1"/>
          <c:order val="1"/>
          <c:tx>
            <c:strRef>
              <c:f>'PIVOT TABLE'!$C$72</c:f>
              <c:strCache>
                <c:ptCount val="1"/>
                <c:pt idx="0">
                  <c:v>Count of Record_ID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TABLE'!$A$73:$A$74</c:f>
              <c:strCache>
                <c:ptCount val="1"/>
                <c:pt idx="0">
                  <c:v>Europe</c:v>
                </c:pt>
              </c:strCache>
            </c:strRef>
          </c:cat>
          <c:val>
            <c:numRef>
              <c:f>'PIVOT TABLE'!$C$73:$C$74</c:f>
              <c:numCache>
                <c:formatCode>General</c:formatCode>
                <c:ptCount val="1"/>
                <c:pt idx="0">
                  <c:v>17</c:v>
                </c:pt>
              </c:numCache>
            </c:numRef>
          </c:val>
          <c:extLst>
            <c:ext xmlns:c16="http://schemas.microsoft.com/office/drawing/2014/chart" uri="{C3380CC4-5D6E-409C-BE32-E72D297353CC}">
              <c16:uniqueId val="{00000001-DBF4-4D28-8DC4-8DEAFFA123A3}"/>
            </c:ext>
          </c:extLst>
        </c:ser>
        <c:dLbls>
          <c:showLegendKey val="0"/>
          <c:showVal val="0"/>
          <c:showCatName val="0"/>
          <c:showSerName val="0"/>
          <c:showPercent val="0"/>
          <c:showBubbleSize val="0"/>
        </c:dLbls>
        <c:gapWidth val="100"/>
        <c:overlap val="-24"/>
        <c:axId val="1077417071"/>
        <c:axId val="1077421391"/>
      </c:barChart>
      <c:catAx>
        <c:axId val="107741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7421391"/>
        <c:crosses val="autoZero"/>
        <c:auto val="1"/>
        <c:lblAlgn val="ctr"/>
        <c:lblOffset val="100"/>
        <c:noMultiLvlLbl val="0"/>
      </c:catAx>
      <c:valAx>
        <c:axId val="10774213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741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Confidence vs Detection Accuracy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TABLE'!$A$91:$A$93</c:f>
              <c:strCache>
                <c:ptCount val="2"/>
                <c:pt idx="0">
                  <c:v>High Confidence</c:v>
                </c:pt>
                <c:pt idx="1">
                  <c:v>Moderate Confidence</c:v>
                </c:pt>
              </c:strCache>
            </c:strRef>
          </c:cat>
          <c:val>
            <c:numRef>
              <c:f>'PIVOT TABLE'!$B$91:$B$93</c:f>
              <c:numCache>
                <c:formatCode>0.00</c:formatCode>
                <c:ptCount val="2"/>
                <c:pt idx="0">
                  <c:v>56.461538461538453</c:v>
                </c:pt>
                <c:pt idx="1">
                  <c:v>51.125</c:v>
                </c:pt>
              </c:numCache>
            </c:numRef>
          </c:val>
          <c:smooth val="0"/>
          <c:extLst>
            <c:ext xmlns:c16="http://schemas.microsoft.com/office/drawing/2014/chart" uri="{C3380CC4-5D6E-409C-BE32-E72D297353CC}">
              <c16:uniqueId val="{00000000-E643-46D5-A464-125A4CE549D5}"/>
            </c:ext>
          </c:extLst>
        </c:ser>
        <c:dLbls>
          <c:showLegendKey val="0"/>
          <c:showVal val="0"/>
          <c:showCatName val="0"/>
          <c:showSerName val="0"/>
          <c:showPercent val="0"/>
          <c:showBubbleSize val="0"/>
        </c:dLbls>
        <c:marker val="1"/>
        <c:smooth val="0"/>
        <c:axId val="1309135679"/>
        <c:axId val="1309135199"/>
      </c:lineChart>
      <c:catAx>
        <c:axId val="13091356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135199"/>
        <c:crosses val="autoZero"/>
        <c:auto val="1"/>
        <c:lblAlgn val="ctr"/>
        <c:lblOffset val="100"/>
        <c:noMultiLvlLbl val="0"/>
      </c:catAx>
      <c:valAx>
        <c:axId val="13091351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1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TABLE!PivotTable7</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TABLE'!$B$104</c:f>
              <c:strCache>
                <c:ptCount val="1"/>
                <c:pt idx="0">
                  <c:v>Average of Fake_Probability(%)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TABLE'!$A$105:$A$110</c:f>
              <c:strCache>
                <c:ptCount val="5"/>
                <c:pt idx="0">
                  <c:v>Audio</c:v>
                </c:pt>
                <c:pt idx="1">
                  <c:v>Composite</c:v>
                </c:pt>
                <c:pt idx="2">
                  <c:v>Image</c:v>
                </c:pt>
                <c:pt idx="3">
                  <c:v>Text</c:v>
                </c:pt>
                <c:pt idx="4">
                  <c:v>Video</c:v>
                </c:pt>
              </c:strCache>
            </c:strRef>
          </c:cat>
          <c:val>
            <c:numRef>
              <c:f>'PIVOT TABLE'!$B$105:$B$110</c:f>
              <c:numCache>
                <c:formatCode>0.00</c:formatCode>
                <c:ptCount val="5"/>
                <c:pt idx="0">
                  <c:v>59.466666666666661</c:v>
                </c:pt>
                <c:pt idx="1">
                  <c:v>58.875</c:v>
                </c:pt>
                <c:pt idx="2">
                  <c:v>59.4</c:v>
                </c:pt>
                <c:pt idx="3">
                  <c:v>48.680000000000007</c:v>
                </c:pt>
                <c:pt idx="4">
                  <c:v>51.5</c:v>
                </c:pt>
              </c:numCache>
            </c:numRef>
          </c:val>
          <c:extLst>
            <c:ext xmlns:c16="http://schemas.microsoft.com/office/drawing/2014/chart" uri="{C3380CC4-5D6E-409C-BE32-E72D297353CC}">
              <c16:uniqueId val="{00000000-07DB-4D2A-93F1-E01E01CFF52F}"/>
            </c:ext>
          </c:extLst>
        </c:ser>
        <c:ser>
          <c:idx val="1"/>
          <c:order val="1"/>
          <c:tx>
            <c:strRef>
              <c:f>'PIVOT TABLE'!$C$104</c:f>
              <c:strCache>
                <c:ptCount val="1"/>
                <c:pt idx="0">
                  <c:v>Average of Engagement_Count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TABLE'!$A$105:$A$110</c:f>
              <c:strCache>
                <c:ptCount val="5"/>
                <c:pt idx="0">
                  <c:v>Audio</c:v>
                </c:pt>
                <c:pt idx="1">
                  <c:v>Composite</c:v>
                </c:pt>
                <c:pt idx="2">
                  <c:v>Image</c:v>
                </c:pt>
                <c:pt idx="3">
                  <c:v>Text</c:v>
                </c:pt>
                <c:pt idx="4">
                  <c:v>Video</c:v>
                </c:pt>
              </c:strCache>
            </c:strRef>
          </c:cat>
          <c:val>
            <c:numRef>
              <c:f>'PIVOT TABLE'!$C$105:$C$110</c:f>
              <c:numCache>
                <c:formatCode>General</c:formatCode>
                <c:ptCount val="5"/>
                <c:pt idx="0">
                  <c:v>2725066.3333333335</c:v>
                </c:pt>
                <c:pt idx="1">
                  <c:v>3180451</c:v>
                </c:pt>
                <c:pt idx="2">
                  <c:v>1613200</c:v>
                </c:pt>
                <c:pt idx="3">
                  <c:v>2624749.4</c:v>
                </c:pt>
                <c:pt idx="4">
                  <c:v>2722306.5</c:v>
                </c:pt>
              </c:numCache>
            </c:numRef>
          </c:val>
          <c:extLst>
            <c:ext xmlns:c16="http://schemas.microsoft.com/office/drawing/2014/chart" uri="{C3380CC4-5D6E-409C-BE32-E72D297353CC}">
              <c16:uniqueId val="{00000001-07DB-4D2A-93F1-E01E01CFF52F}"/>
            </c:ext>
          </c:extLst>
        </c:ser>
        <c:dLbls>
          <c:showLegendKey val="0"/>
          <c:showVal val="0"/>
          <c:showCatName val="0"/>
          <c:showSerName val="0"/>
          <c:showPercent val="0"/>
          <c:showBubbleSize val="0"/>
        </c:dLbls>
        <c:gapWidth val="164"/>
        <c:overlap val="-22"/>
        <c:axId val="1293532287"/>
        <c:axId val="1293531807"/>
      </c:barChart>
      <c:catAx>
        <c:axId val="12935322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31807"/>
        <c:crosses val="autoZero"/>
        <c:auto val="1"/>
        <c:lblAlgn val="ctr"/>
        <c:lblOffset val="100"/>
        <c:noMultiLvlLbl val="0"/>
      </c:catAx>
      <c:valAx>
        <c:axId val="12935318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TABLE!PivotTable8</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TIME TREND ANALYSIS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TABLE'!$A$122:$A$133</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TABLE'!$B$122:$B$133</c:f>
              <c:numCache>
                <c:formatCode>0.00</c:formatCode>
                <c:ptCount val="11"/>
                <c:pt idx="0">
                  <c:v>63.6</c:v>
                </c:pt>
                <c:pt idx="1">
                  <c:v>60.8</c:v>
                </c:pt>
                <c:pt idx="2">
                  <c:v>60.8</c:v>
                </c:pt>
                <c:pt idx="3">
                  <c:v>45.25</c:v>
                </c:pt>
                <c:pt idx="4">
                  <c:v>55</c:v>
                </c:pt>
                <c:pt idx="5">
                  <c:v>42.3</c:v>
                </c:pt>
                <c:pt idx="6">
                  <c:v>59.375</c:v>
                </c:pt>
                <c:pt idx="7">
                  <c:v>57.8</c:v>
                </c:pt>
                <c:pt idx="8">
                  <c:v>59.2</c:v>
                </c:pt>
                <c:pt idx="9">
                  <c:v>56</c:v>
                </c:pt>
                <c:pt idx="10">
                  <c:v>47.099999999999994</c:v>
                </c:pt>
              </c:numCache>
            </c:numRef>
          </c:val>
          <c:smooth val="0"/>
          <c:extLst>
            <c:ext xmlns:c16="http://schemas.microsoft.com/office/drawing/2014/chart" uri="{C3380CC4-5D6E-409C-BE32-E72D297353CC}">
              <c16:uniqueId val="{00000000-3EBD-4A2E-A4AC-20BDE2E7FEEE}"/>
            </c:ext>
          </c:extLst>
        </c:ser>
        <c:dLbls>
          <c:showLegendKey val="0"/>
          <c:showVal val="0"/>
          <c:showCatName val="0"/>
          <c:showSerName val="0"/>
          <c:showPercent val="0"/>
          <c:showBubbleSize val="0"/>
        </c:dLbls>
        <c:marker val="1"/>
        <c:smooth val="0"/>
        <c:axId val="1139001135"/>
        <c:axId val="1138996815"/>
      </c:lineChart>
      <c:catAx>
        <c:axId val="11390011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8996815"/>
        <c:crosses val="autoZero"/>
        <c:auto val="1"/>
        <c:lblAlgn val="ctr"/>
        <c:lblOffset val="100"/>
        <c:noMultiLvlLbl val="0"/>
      </c:catAx>
      <c:valAx>
        <c:axId val="113899681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90011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FAKE VS REAL CONTENT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7080979284369114E-2"/>
              <c:y val="-3.98406374501992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3358443188951638E-2"/>
              <c:y val="-4.64807436918990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5329566854990579E-2"/>
              <c:y val="3.98406374501992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7080979284369114E-2"/>
              <c:y val="-3.98406374501992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5329566854990579E-2"/>
              <c:y val="3.98406374501992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3358443188951638E-2"/>
              <c:y val="-4.648074369189907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080979284369114E-2"/>
              <c:y val="-3.9840637450199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329566854990579E-2"/>
              <c:y val="3.9840637450199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358443188951638E-2"/>
              <c:y val="-4.6480743691899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36C-4E62-833B-A5DD374CB2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36C-4E62-833B-A5DD374CB2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6C-4E62-833B-A5DD374CB2E4}"/>
              </c:ext>
            </c:extLst>
          </c:dPt>
          <c:dLbls>
            <c:dLbl>
              <c:idx val="0"/>
              <c:layout>
                <c:manualLayout>
                  <c:x val="-5.3358443188951638E-2"/>
                  <c:y val="-4.6480743691899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6C-4E62-833B-A5DD374CB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TABLE'!$A$3:$A$4</c:f>
              <c:strCache>
                <c:ptCount val="1"/>
                <c:pt idx="0">
                  <c:v>UNCERTAIN</c:v>
                </c:pt>
              </c:strCache>
            </c:strRef>
          </c:cat>
          <c:val>
            <c:numRef>
              <c:f>'PIVOT TABLE'!$B$3:$B$4</c:f>
              <c:numCache>
                <c:formatCode>General</c:formatCode>
                <c:ptCount val="1"/>
                <c:pt idx="0">
                  <c:v>17</c:v>
                </c:pt>
              </c:numCache>
            </c:numRef>
          </c:val>
          <c:extLst>
            <c:ext xmlns:c16="http://schemas.microsoft.com/office/drawing/2014/chart" uri="{C3380CC4-5D6E-409C-BE32-E72D297353CC}">
              <c16:uniqueId val="{00000006-836C-4E62-833B-A5DD374CB2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FAKE PROBABILTY BY PLATFORM</a:t>
            </a:r>
          </a:p>
        </c:rich>
      </c:tx>
      <c:layout>
        <c:manualLayout>
          <c:xMode val="edge"/>
          <c:yMode val="edge"/>
          <c:x val="0.15920822397200349"/>
          <c:y val="0.11934966462525518"/>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01522999330656E-2"/>
          <c:y val="0.2735314054830803"/>
          <c:w val="0.84150125765529304"/>
          <c:h val="0.51241917036906703"/>
        </c:manualLayout>
      </c:layout>
      <c:barChart>
        <c:barDir val="col"/>
        <c:grouping val="clustered"/>
        <c:varyColors val="0"/>
        <c:ser>
          <c:idx val="0"/>
          <c:order val="0"/>
          <c:tx>
            <c:strRef>
              <c:f>'PIVOT TABLE'!$B$17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TABLE'!$A$18:$A$24</c:f>
              <c:strCache>
                <c:ptCount val="6"/>
                <c:pt idx="0">
                  <c:v>Facebook</c:v>
                </c:pt>
                <c:pt idx="1">
                  <c:v>Instagram</c:v>
                </c:pt>
                <c:pt idx="2">
                  <c:v>LinkedIn</c:v>
                </c:pt>
                <c:pt idx="3">
                  <c:v>Telegram</c:v>
                </c:pt>
                <c:pt idx="4">
                  <c:v>TikTok</c:v>
                </c:pt>
                <c:pt idx="5">
                  <c:v>Twitter/X</c:v>
                </c:pt>
              </c:strCache>
            </c:strRef>
          </c:cat>
          <c:val>
            <c:numRef>
              <c:f>'PIVOT TABLE'!$B$18:$B$24</c:f>
              <c:numCache>
                <c:formatCode>0.00</c:formatCode>
                <c:ptCount val="6"/>
                <c:pt idx="0">
                  <c:v>42.3</c:v>
                </c:pt>
                <c:pt idx="1">
                  <c:v>55.033333333333331</c:v>
                </c:pt>
                <c:pt idx="2">
                  <c:v>59.4</c:v>
                </c:pt>
                <c:pt idx="3">
                  <c:v>56.760000000000005</c:v>
                </c:pt>
                <c:pt idx="4">
                  <c:v>60.2</c:v>
                </c:pt>
                <c:pt idx="5">
                  <c:v>51.2</c:v>
                </c:pt>
              </c:numCache>
            </c:numRef>
          </c:val>
          <c:extLst>
            <c:ext xmlns:c16="http://schemas.microsoft.com/office/drawing/2014/chart" uri="{C3380CC4-5D6E-409C-BE32-E72D297353CC}">
              <c16:uniqueId val="{00000000-E77D-4687-BF00-755B7EAB107D}"/>
            </c:ext>
          </c:extLst>
        </c:ser>
        <c:dLbls>
          <c:dLblPos val="inEnd"/>
          <c:showLegendKey val="0"/>
          <c:showVal val="1"/>
          <c:showCatName val="0"/>
          <c:showSerName val="0"/>
          <c:showPercent val="0"/>
          <c:showBubbleSize val="0"/>
        </c:dLbls>
        <c:gapWidth val="41"/>
        <c:axId val="1033847167"/>
        <c:axId val="979064895"/>
      </c:barChart>
      <c:catAx>
        <c:axId val="103384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79064895"/>
        <c:crosses val="autoZero"/>
        <c:auto val="1"/>
        <c:lblAlgn val="ctr"/>
        <c:lblOffset val="100"/>
        <c:noMultiLvlLbl val="0"/>
      </c:catAx>
      <c:valAx>
        <c:axId val="979064895"/>
        <c:scaling>
          <c:orientation val="minMax"/>
        </c:scaling>
        <c:delete val="1"/>
        <c:axPos val="l"/>
        <c:numFmt formatCode="0.00" sourceLinked="1"/>
        <c:majorTickMark val="none"/>
        <c:minorTickMark val="none"/>
        <c:tickLblPos val="nextTo"/>
        <c:crossAx val="103384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TABLE!PivotTable3</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Average of Engagement_Count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TABLE'!$A$37:$A$38</c:f>
              <c:strCache>
                <c:ptCount val="1"/>
                <c:pt idx="0">
                  <c:v>Moderate Risk</c:v>
                </c:pt>
              </c:strCache>
            </c:strRef>
          </c:cat>
          <c:val>
            <c:numRef>
              <c:f>'PIVOT TABLE'!$B$37:$B$38</c:f>
              <c:numCache>
                <c:formatCode>General</c:formatCode>
                <c:ptCount val="1"/>
                <c:pt idx="0">
                  <c:v>2606174.2941176472</c:v>
                </c:pt>
              </c:numCache>
            </c:numRef>
          </c:val>
          <c:extLst>
            <c:ext xmlns:c16="http://schemas.microsoft.com/office/drawing/2014/chart" uri="{C3380CC4-5D6E-409C-BE32-E72D297353CC}">
              <c16:uniqueId val="{00000000-FD3A-442A-BEA6-3A014C524C22}"/>
            </c:ext>
          </c:extLst>
        </c:ser>
        <c:ser>
          <c:idx val="1"/>
          <c:order val="1"/>
          <c:tx>
            <c:strRef>
              <c:f>'PIVOT TABLE'!$C$36</c:f>
              <c:strCache>
                <c:ptCount val="1"/>
                <c:pt idx="0">
                  <c:v>Average of Viral_Reach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TABLE'!$A$37:$A$38</c:f>
              <c:strCache>
                <c:ptCount val="1"/>
                <c:pt idx="0">
                  <c:v>Moderate Risk</c:v>
                </c:pt>
              </c:strCache>
            </c:strRef>
          </c:cat>
          <c:val>
            <c:numRef>
              <c:f>'PIVOT TABLE'!$C$37:$C$38</c:f>
              <c:numCache>
                <c:formatCode>General</c:formatCode>
                <c:ptCount val="1"/>
                <c:pt idx="0">
                  <c:v>9695814.8823529407</c:v>
                </c:pt>
              </c:numCache>
            </c:numRef>
          </c:val>
          <c:extLst>
            <c:ext xmlns:c16="http://schemas.microsoft.com/office/drawing/2014/chart" uri="{C3380CC4-5D6E-409C-BE32-E72D297353CC}">
              <c16:uniqueId val="{00000001-FD3A-442A-BEA6-3A014C524C22}"/>
            </c:ext>
          </c:extLst>
        </c:ser>
        <c:dLbls>
          <c:dLblPos val="inEnd"/>
          <c:showLegendKey val="0"/>
          <c:showVal val="1"/>
          <c:showCatName val="0"/>
          <c:showSerName val="0"/>
          <c:showPercent val="0"/>
          <c:showBubbleSize val="0"/>
        </c:dLbls>
        <c:gapWidth val="315"/>
        <c:overlap val="-40"/>
        <c:axId val="1101138191"/>
        <c:axId val="1101138671"/>
      </c:barChart>
      <c:catAx>
        <c:axId val="11011381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138671"/>
        <c:crosses val="autoZero"/>
        <c:auto val="1"/>
        <c:lblAlgn val="ctr"/>
        <c:lblOffset val="100"/>
        <c:noMultiLvlLbl val="0"/>
      </c:catAx>
      <c:valAx>
        <c:axId val="11011386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113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US"/>
              <a:t>AI Generated vs Viral Reach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TABLE'!$A$54:$A$56</c:f>
              <c:strCache>
                <c:ptCount val="2"/>
                <c:pt idx="0">
                  <c:v>Maybe</c:v>
                </c:pt>
                <c:pt idx="1">
                  <c:v>Yes</c:v>
                </c:pt>
              </c:strCache>
            </c:strRef>
          </c:cat>
          <c:val>
            <c:numRef>
              <c:f>'PIVOT TABLE'!$B$54:$B$56</c:f>
              <c:numCache>
                <c:formatCode>General</c:formatCode>
                <c:ptCount val="2"/>
                <c:pt idx="0">
                  <c:v>7114160.6363636367</c:v>
                </c:pt>
                <c:pt idx="1">
                  <c:v>14428847.666666666</c:v>
                </c:pt>
              </c:numCache>
            </c:numRef>
          </c:val>
          <c:extLst>
            <c:ext xmlns:c16="http://schemas.microsoft.com/office/drawing/2014/chart" uri="{C3380CC4-5D6E-409C-BE32-E72D297353CC}">
              <c16:uniqueId val="{00000000-43D0-4B6C-A904-5255ED3ED308}"/>
            </c:ext>
          </c:extLst>
        </c:ser>
        <c:dLbls>
          <c:showLegendKey val="0"/>
          <c:showVal val="0"/>
          <c:showCatName val="0"/>
          <c:showSerName val="0"/>
          <c:showPercent val="0"/>
          <c:showBubbleSize val="0"/>
        </c:dLbls>
        <c:gapWidth val="267"/>
        <c:overlap val="-43"/>
        <c:axId val="1399748271"/>
        <c:axId val="1399748751"/>
      </c:barChart>
      <c:catAx>
        <c:axId val="13997482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399748751"/>
        <c:crosses val="autoZero"/>
        <c:auto val="1"/>
        <c:lblAlgn val="ctr"/>
        <c:lblOffset val="100"/>
        <c:noMultiLvlLbl val="0"/>
      </c:catAx>
      <c:valAx>
        <c:axId val="13997487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974827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noFill/>
      <a:prstDash val="solid"/>
      <a:miter lim="800000"/>
    </a:ln>
    <a:effectLst>
      <a:softEdge rad="635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Average of Fake_Probability(%)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TABLE'!$A$73:$A$74</c:f>
              <c:strCache>
                <c:ptCount val="1"/>
                <c:pt idx="0">
                  <c:v>Europe</c:v>
                </c:pt>
              </c:strCache>
            </c:strRef>
          </c:cat>
          <c:val>
            <c:numRef>
              <c:f>'PIVOT TABLE'!$B$73:$B$74</c:f>
              <c:numCache>
                <c:formatCode>0.00</c:formatCode>
                <c:ptCount val="1"/>
                <c:pt idx="0">
                  <c:v>55.205882352941167</c:v>
                </c:pt>
              </c:numCache>
            </c:numRef>
          </c:val>
          <c:extLst>
            <c:ext xmlns:c16="http://schemas.microsoft.com/office/drawing/2014/chart" uri="{C3380CC4-5D6E-409C-BE32-E72D297353CC}">
              <c16:uniqueId val="{00000000-8214-41B6-AC6C-B92DBA1F4AD2}"/>
            </c:ext>
          </c:extLst>
        </c:ser>
        <c:ser>
          <c:idx val="1"/>
          <c:order val="1"/>
          <c:tx>
            <c:strRef>
              <c:f>'PIVOT TABLE'!$C$72</c:f>
              <c:strCache>
                <c:ptCount val="1"/>
                <c:pt idx="0">
                  <c:v>Count of Record_ID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TABLE'!$A$73:$A$74</c:f>
              <c:strCache>
                <c:ptCount val="1"/>
                <c:pt idx="0">
                  <c:v>Europe</c:v>
                </c:pt>
              </c:strCache>
            </c:strRef>
          </c:cat>
          <c:val>
            <c:numRef>
              <c:f>'PIVOT TABLE'!$C$73:$C$74</c:f>
              <c:numCache>
                <c:formatCode>General</c:formatCode>
                <c:ptCount val="1"/>
                <c:pt idx="0">
                  <c:v>17</c:v>
                </c:pt>
              </c:numCache>
            </c:numRef>
          </c:val>
          <c:extLst>
            <c:ext xmlns:c16="http://schemas.microsoft.com/office/drawing/2014/chart" uri="{C3380CC4-5D6E-409C-BE32-E72D297353CC}">
              <c16:uniqueId val="{00000001-8214-41B6-AC6C-B92DBA1F4AD2}"/>
            </c:ext>
          </c:extLst>
        </c:ser>
        <c:dLbls>
          <c:dLblPos val="inEnd"/>
          <c:showLegendKey val="0"/>
          <c:showVal val="1"/>
          <c:showCatName val="0"/>
          <c:showSerName val="0"/>
          <c:showPercent val="0"/>
          <c:showBubbleSize val="0"/>
        </c:dLbls>
        <c:gapWidth val="65"/>
        <c:axId val="1077417071"/>
        <c:axId val="1077421391"/>
      </c:barChart>
      <c:catAx>
        <c:axId val="10774170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7421391"/>
        <c:crosses val="autoZero"/>
        <c:auto val="1"/>
        <c:lblAlgn val="ctr"/>
        <c:lblOffset val="100"/>
        <c:noMultiLvlLbl val="0"/>
      </c:catAx>
      <c:valAx>
        <c:axId val="1077421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077417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Confidence vs Detection Accuracy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TABLE'!$A$91:$A$93</c:f>
              <c:strCache>
                <c:ptCount val="2"/>
                <c:pt idx="0">
                  <c:v>High Confidence</c:v>
                </c:pt>
                <c:pt idx="1">
                  <c:v>Moderate Confidence</c:v>
                </c:pt>
              </c:strCache>
            </c:strRef>
          </c:cat>
          <c:val>
            <c:numRef>
              <c:f>'PIVOT TABLE'!$B$91:$B$93</c:f>
              <c:numCache>
                <c:formatCode>0.00</c:formatCode>
                <c:ptCount val="2"/>
                <c:pt idx="0">
                  <c:v>56.461538461538453</c:v>
                </c:pt>
                <c:pt idx="1">
                  <c:v>51.125</c:v>
                </c:pt>
              </c:numCache>
            </c:numRef>
          </c:val>
          <c:smooth val="0"/>
          <c:extLst>
            <c:ext xmlns:c16="http://schemas.microsoft.com/office/drawing/2014/chart" uri="{C3380CC4-5D6E-409C-BE32-E72D297353CC}">
              <c16:uniqueId val="{00000000-757B-455F-AC96-E95A4D127A46}"/>
            </c:ext>
          </c:extLst>
        </c:ser>
        <c:dLbls>
          <c:showLegendKey val="0"/>
          <c:showVal val="0"/>
          <c:showCatName val="0"/>
          <c:showSerName val="0"/>
          <c:showPercent val="0"/>
          <c:showBubbleSize val="0"/>
        </c:dLbls>
        <c:marker val="1"/>
        <c:smooth val="0"/>
        <c:axId val="1309135679"/>
        <c:axId val="1309135199"/>
      </c:lineChart>
      <c:catAx>
        <c:axId val="13091356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135199"/>
        <c:crosses val="autoZero"/>
        <c:auto val="1"/>
        <c:lblAlgn val="ctr"/>
        <c:lblOffset val="100"/>
        <c:noMultiLvlLbl val="0"/>
      </c:catAx>
      <c:valAx>
        <c:axId val="13091351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91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TABLE!PivotTable7</c:name>
    <c:fmtId val="4"/>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TABLE'!$B$104</c:f>
              <c:strCache>
                <c:ptCount val="1"/>
                <c:pt idx="0">
                  <c:v>Average of Fake_Probability(%)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TABLE'!$A$105:$A$110</c:f>
              <c:strCache>
                <c:ptCount val="5"/>
                <c:pt idx="0">
                  <c:v>Audio</c:v>
                </c:pt>
                <c:pt idx="1">
                  <c:v>Composite</c:v>
                </c:pt>
                <c:pt idx="2">
                  <c:v>Image</c:v>
                </c:pt>
                <c:pt idx="3">
                  <c:v>Text</c:v>
                </c:pt>
                <c:pt idx="4">
                  <c:v>Video</c:v>
                </c:pt>
              </c:strCache>
            </c:strRef>
          </c:cat>
          <c:val>
            <c:numRef>
              <c:f>'PIVOT TABLE'!$B$105:$B$110</c:f>
              <c:numCache>
                <c:formatCode>0.00</c:formatCode>
                <c:ptCount val="5"/>
                <c:pt idx="0">
                  <c:v>59.466666666666661</c:v>
                </c:pt>
                <c:pt idx="1">
                  <c:v>58.875</c:v>
                </c:pt>
                <c:pt idx="2">
                  <c:v>59.4</c:v>
                </c:pt>
                <c:pt idx="3">
                  <c:v>48.680000000000007</c:v>
                </c:pt>
                <c:pt idx="4">
                  <c:v>51.5</c:v>
                </c:pt>
              </c:numCache>
            </c:numRef>
          </c:val>
          <c:extLst>
            <c:ext xmlns:c16="http://schemas.microsoft.com/office/drawing/2014/chart" uri="{C3380CC4-5D6E-409C-BE32-E72D297353CC}">
              <c16:uniqueId val="{00000000-A87D-404B-B440-EBFE096E1ABD}"/>
            </c:ext>
          </c:extLst>
        </c:ser>
        <c:ser>
          <c:idx val="1"/>
          <c:order val="1"/>
          <c:tx>
            <c:strRef>
              <c:f>'PIVOT TABLE'!$C$104</c:f>
              <c:strCache>
                <c:ptCount val="1"/>
                <c:pt idx="0">
                  <c:v>Average of Engagement_Count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TABLE'!$A$105:$A$110</c:f>
              <c:strCache>
                <c:ptCount val="5"/>
                <c:pt idx="0">
                  <c:v>Audio</c:v>
                </c:pt>
                <c:pt idx="1">
                  <c:v>Composite</c:v>
                </c:pt>
                <c:pt idx="2">
                  <c:v>Image</c:v>
                </c:pt>
                <c:pt idx="3">
                  <c:v>Text</c:v>
                </c:pt>
                <c:pt idx="4">
                  <c:v>Video</c:v>
                </c:pt>
              </c:strCache>
            </c:strRef>
          </c:cat>
          <c:val>
            <c:numRef>
              <c:f>'PIVOT TABLE'!$C$105:$C$110</c:f>
              <c:numCache>
                <c:formatCode>General</c:formatCode>
                <c:ptCount val="5"/>
                <c:pt idx="0">
                  <c:v>2725066.3333333335</c:v>
                </c:pt>
                <c:pt idx="1">
                  <c:v>3180451</c:v>
                </c:pt>
                <c:pt idx="2">
                  <c:v>1613200</c:v>
                </c:pt>
                <c:pt idx="3">
                  <c:v>2624749.4</c:v>
                </c:pt>
                <c:pt idx="4">
                  <c:v>2722306.5</c:v>
                </c:pt>
              </c:numCache>
            </c:numRef>
          </c:val>
          <c:extLst>
            <c:ext xmlns:c16="http://schemas.microsoft.com/office/drawing/2014/chart" uri="{C3380CC4-5D6E-409C-BE32-E72D297353CC}">
              <c16:uniqueId val="{00000001-A87D-404B-B440-EBFE096E1ABD}"/>
            </c:ext>
          </c:extLst>
        </c:ser>
        <c:dLbls>
          <c:showLegendKey val="0"/>
          <c:showVal val="0"/>
          <c:showCatName val="0"/>
          <c:showSerName val="0"/>
          <c:showPercent val="0"/>
          <c:showBubbleSize val="0"/>
        </c:dLbls>
        <c:gapWidth val="164"/>
        <c:overlap val="-22"/>
        <c:axId val="1293532287"/>
        <c:axId val="1293531807"/>
      </c:barChart>
      <c:catAx>
        <c:axId val="129353228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31807"/>
        <c:crosses val="autoZero"/>
        <c:auto val="1"/>
        <c:lblAlgn val="ctr"/>
        <c:lblOffset val="100"/>
        <c:noMultiLvlLbl val="0"/>
      </c:catAx>
      <c:valAx>
        <c:axId val="12935318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TIME TREND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TABLE'!$A$122:$A$133</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TABLE'!$B$122:$B$133</c:f>
              <c:numCache>
                <c:formatCode>0.00</c:formatCode>
                <c:ptCount val="11"/>
                <c:pt idx="0">
                  <c:v>63.6</c:v>
                </c:pt>
                <c:pt idx="1">
                  <c:v>60.8</c:v>
                </c:pt>
                <c:pt idx="2">
                  <c:v>60.8</c:v>
                </c:pt>
                <c:pt idx="3">
                  <c:v>45.25</c:v>
                </c:pt>
                <c:pt idx="4">
                  <c:v>55</c:v>
                </c:pt>
                <c:pt idx="5">
                  <c:v>42.3</c:v>
                </c:pt>
                <c:pt idx="6">
                  <c:v>59.375</c:v>
                </c:pt>
                <c:pt idx="7">
                  <c:v>57.8</c:v>
                </c:pt>
                <c:pt idx="8">
                  <c:v>59.2</c:v>
                </c:pt>
                <c:pt idx="9">
                  <c:v>56</c:v>
                </c:pt>
                <c:pt idx="10">
                  <c:v>47.099999999999994</c:v>
                </c:pt>
              </c:numCache>
            </c:numRef>
          </c:val>
          <c:smooth val="0"/>
          <c:extLst>
            <c:ext xmlns:c16="http://schemas.microsoft.com/office/drawing/2014/chart" uri="{C3380CC4-5D6E-409C-BE32-E72D297353CC}">
              <c16:uniqueId val="{00000000-B29D-476E-995D-C7ACA89CDD03}"/>
            </c:ext>
          </c:extLst>
        </c:ser>
        <c:dLbls>
          <c:showLegendKey val="0"/>
          <c:showVal val="0"/>
          <c:showCatName val="0"/>
          <c:showSerName val="0"/>
          <c:showPercent val="0"/>
          <c:showBubbleSize val="0"/>
        </c:dLbls>
        <c:marker val="1"/>
        <c:smooth val="0"/>
        <c:axId val="1139001135"/>
        <c:axId val="1138996815"/>
      </c:lineChart>
      <c:catAx>
        <c:axId val="11390011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8996815"/>
        <c:crosses val="autoZero"/>
        <c:auto val="1"/>
        <c:lblAlgn val="ctr"/>
        <c:lblOffset val="100"/>
        <c:noMultiLvlLbl val="0"/>
      </c:catAx>
      <c:valAx>
        <c:axId val="11389968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00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7620</xdr:rowOff>
    </xdr:from>
    <xdr:to>
      <xdr:col>7</xdr:col>
      <xdr:colOff>586740</xdr:colOff>
      <xdr:row>10</xdr:row>
      <xdr:rowOff>91440</xdr:rowOff>
    </xdr:to>
    <xdr:graphicFrame macro="">
      <xdr:nvGraphicFramePr>
        <xdr:cNvPr id="2" name="Chart 1">
          <a:extLst>
            <a:ext uri="{FF2B5EF4-FFF2-40B4-BE49-F238E27FC236}">
              <a16:creationId xmlns:a16="http://schemas.microsoft.com/office/drawing/2014/main" id="{F4601CB5-E2FF-3178-479A-59F29E9F5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15</xdr:row>
      <xdr:rowOff>41910</xdr:rowOff>
    </xdr:from>
    <xdr:to>
      <xdr:col>9</xdr:col>
      <xdr:colOff>548640</xdr:colOff>
      <xdr:row>30</xdr:row>
      <xdr:rowOff>41910</xdr:rowOff>
    </xdr:to>
    <xdr:graphicFrame macro="">
      <xdr:nvGraphicFramePr>
        <xdr:cNvPr id="3" name="Chart 2">
          <a:extLst>
            <a:ext uri="{FF2B5EF4-FFF2-40B4-BE49-F238E27FC236}">
              <a16:creationId xmlns:a16="http://schemas.microsoft.com/office/drawing/2014/main" id="{8BB8A245-BE3F-BDF9-D1DB-38A9C3639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xdr:colOff>
      <xdr:row>33</xdr:row>
      <xdr:rowOff>175260</xdr:rowOff>
    </xdr:from>
    <xdr:to>
      <xdr:col>12</xdr:col>
      <xdr:colOff>358140</xdr:colOff>
      <xdr:row>47</xdr:row>
      <xdr:rowOff>121920</xdr:rowOff>
    </xdr:to>
    <xdr:graphicFrame macro="">
      <xdr:nvGraphicFramePr>
        <xdr:cNvPr id="4" name="Chart 3">
          <a:extLst>
            <a:ext uri="{FF2B5EF4-FFF2-40B4-BE49-F238E27FC236}">
              <a16:creationId xmlns:a16="http://schemas.microsoft.com/office/drawing/2014/main" id="{7221337D-D641-3FA3-F319-FD9296EE8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xdr:colOff>
      <xdr:row>49</xdr:row>
      <xdr:rowOff>171450</xdr:rowOff>
    </xdr:from>
    <xdr:to>
      <xdr:col>8</xdr:col>
      <xdr:colOff>499110</xdr:colOff>
      <xdr:row>64</xdr:row>
      <xdr:rowOff>171450</xdr:rowOff>
    </xdr:to>
    <xdr:graphicFrame macro="">
      <xdr:nvGraphicFramePr>
        <xdr:cNvPr id="5" name="Chart 4">
          <a:extLst>
            <a:ext uri="{FF2B5EF4-FFF2-40B4-BE49-F238E27FC236}">
              <a16:creationId xmlns:a16="http://schemas.microsoft.com/office/drawing/2014/main" id="{AC490AD0-5BEC-3CC9-168F-108262B5C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34290</xdr:colOff>
      <xdr:row>69</xdr:row>
      <xdr:rowOff>179070</xdr:rowOff>
    </xdr:from>
    <xdr:to>
      <xdr:col>11</xdr:col>
      <xdr:colOff>251460</xdr:colOff>
      <xdr:row>84</xdr:row>
      <xdr:rowOff>179070</xdr:rowOff>
    </xdr:to>
    <xdr:graphicFrame macro="">
      <xdr:nvGraphicFramePr>
        <xdr:cNvPr id="6" name="Chart 5">
          <a:extLst>
            <a:ext uri="{FF2B5EF4-FFF2-40B4-BE49-F238E27FC236}">
              <a16:creationId xmlns:a16="http://schemas.microsoft.com/office/drawing/2014/main" id="{4C35F651-760B-35DC-7400-FA0CE4186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316230</xdr:colOff>
      <xdr:row>88</xdr:row>
      <xdr:rowOff>7620</xdr:rowOff>
    </xdr:from>
    <xdr:to>
      <xdr:col>6</xdr:col>
      <xdr:colOff>228600</xdr:colOff>
      <xdr:row>98</xdr:row>
      <xdr:rowOff>179070</xdr:rowOff>
    </xdr:to>
    <xdr:graphicFrame macro="">
      <xdr:nvGraphicFramePr>
        <xdr:cNvPr id="7" name="Chart 6">
          <a:extLst>
            <a:ext uri="{FF2B5EF4-FFF2-40B4-BE49-F238E27FC236}">
              <a16:creationId xmlns:a16="http://schemas.microsoft.com/office/drawing/2014/main" id="{830F6B5B-432F-259C-C6AD-8DC7DA2D1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438150</xdr:colOff>
      <xdr:row>102</xdr:row>
      <xdr:rowOff>3810</xdr:rowOff>
    </xdr:from>
    <xdr:to>
      <xdr:col>11</xdr:col>
      <xdr:colOff>156210</xdr:colOff>
      <xdr:row>117</xdr:row>
      <xdr:rowOff>3810</xdr:rowOff>
    </xdr:to>
    <xdr:graphicFrame macro="">
      <xdr:nvGraphicFramePr>
        <xdr:cNvPr id="8" name="Chart 7">
          <a:extLst>
            <a:ext uri="{FF2B5EF4-FFF2-40B4-BE49-F238E27FC236}">
              <a16:creationId xmlns:a16="http://schemas.microsoft.com/office/drawing/2014/main" id="{1E5FC1AE-6979-D223-7889-A5733FC77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354330</xdr:colOff>
      <xdr:row>119</xdr:row>
      <xdr:rowOff>0</xdr:rowOff>
    </xdr:from>
    <xdr:to>
      <xdr:col>6</xdr:col>
      <xdr:colOff>99060</xdr:colOff>
      <xdr:row>133</xdr:row>
      <xdr:rowOff>137160</xdr:rowOff>
    </xdr:to>
    <xdr:graphicFrame macro="">
      <xdr:nvGraphicFramePr>
        <xdr:cNvPr id="9" name="Chart 8">
          <a:extLst>
            <a:ext uri="{FF2B5EF4-FFF2-40B4-BE49-F238E27FC236}">
              <a16:creationId xmlns:a16="http://schemas.microsoft.com/office/drawing/2014/main" id="{85E922BF-3046-0CA1-7D1D-D954269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15240</xdr:colOff>
      <xdr:row>15</xdr:row>
      <xdr:rowOff>160021</xdr:rowOff>
    </xdr:from>
    <xdr:to>
      <xdr:col>2</xdr:col>
      <xdr:colOff>1508760</xdr:colOff>
      <xdr:row>26</xdr:row>
      <xdr:rowOff>30481</xdr:rowOff>
    </xdr:to>
    <mc:AlternateContent xmlns:mc="http://schemas.openxmlformats.org/markup-compatibility/2006" xmlns:a14="http://schemas.microsoft.com/office/drawing/2010/main">
      <mc:Choice Requires="a14">
        <xdr:graphicFrame macro="">
          <xdr:nvGraphicFramePr>
            <xdr:cNvPr id="10" name="Platform">
              <a:extLst>
                <a:ext uri="{FF2B5EF4-FFF2-40B4-BE49-F238E27FC236}">
                  <a16:creationId xmlns:a16="http://schemas.microsoft.com/office/drawing/2014/main" id="{1E695EFE-F8B8-27DC-85C8-80F9BAF19AF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842260" y="2903221"/>
              <a:ext cx="149352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52</xdr:row>
      <xdr:rowOff>1</xdr:rowOff>
    </xdr:from>
    <xdr:to>
      <xdr:col>2</xdr:col>
      <xdr:colOff>1828800</xdr:colOff>
      <xdr:row>58</xdr:row>
      <xdr:rowOff>22861</xdr:rowOff>
    </xdr:to>
    <mc:AlternateContent xmlns:mc="http://schemas.openxmlformats.org/markup-compatibility/2006" xmlns:a14="http://schemas.microsoft.com/office/drawing/2010/main">
      <mc:Choice Requires="a14">
        <xdr:graphicFrame macro="">
          <xdr:nvGraphicFramePr>
            <xdr:cNvPr id="11" name="AI_Generated">
              <a:extLst>
                <a:ext uri="{FF2B5EF4-FFF2-40B4-BE49-F238E27FC236}">
                  <a16:creationId xmlns:a16="http://schemas.microsoft.com/office/drawing/2014/main" id="{26BCC37E-A502-592D-C8DD-9F85241C2B3B}"/>
                </a:ext>
              </a:extLst>
            </xdr:cNvPr>
            <xdr:cNvGraphicFramePr/>
          </xdr:nvGraphicFramePr>
          <xdr:xfrm>
            <a:off x="0" y="0"/>
            <a:ext cx="0" cy="0"/>
          </xdr:xfrm>
          <a:graphic>
            <a:graphicData uri="http://schemas.microsoft.com/office/drawing/2010/slicer">
              <sle:slicer xmlns:sle="http://schemas.microsoft.com/office/drawing/2010/slicer" name="AI_Generated"/>
            </a:graphicData>
          </a:graphic>
        </xdr:graphicFrame>
      </mc:Choice>
      <mc:Fallback xmlns="">
        <xdr:sp macro="" textlink="">
          <xdr:nvSpPr>
            <xdr:cNvPr id="0" name=""/>
            <xdr:cNvSpPr>
              <a:spLocks noTextEdit="1"/>
            </xdr:cNvSpPr>
          </xdr:nvSpPr>
          <xdr:spPr>
            <a:xfrm>
              <a:off x="2849880" y="9509761"/>
              <a:ext cx="180594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71</xdr:row>
      <xdr:rowOff>1</xdr:rowOff>
    </xdr:from>
    <xdr:to>
      <xdr:col>4</xdr:col>
      <xdr:colOff>914400</xdr:colOff>
      <xdr:row>80</xdr:row>
      <xdr:rowOff>15241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DBA67F7-7099-DFB9-553B-4611EEB56F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2020" y="12984481"/>
              <a:ext cx="163068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102</xdr:row>
      <xdr:rowOff>167641</xdr:rowOff>
    </xdr:from>
    <xdr:to>
      <xdr:col>5</xdr:col>
      <xdr:colOff>53340</xdr:colOff>
      <xdr:row>110</xdr:row>
      <xdr:rowOff>30480</xdr:rowOff>
    </xdr:to>
    <mc:AlternateContent xmlns:mc="http://schemas.openxmlformats.org/markup-compatibility/2006" xmlns:a14="http://schemas.microsoft.com/office/drawing/2010/main">
      <mc:Choice Requires="a14">
        <xdr:graphicFrame macro="">
          <xdr:nvGraphicFramePr>
            <xdr:cNvPr id="13" name="Content_Type">
              <a:extLst>
                <a:ext uri="{FF2B5EF4-FFF2-40B4-BE49-F238E27FC236}">
                  <a16:creationId xmlns:a16="http://schemas.microsoft.com/office/drawing/2014/main" id="{84379361-0A85-546E-5CD5-10A47EECD0F8}"/>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mlns="">
        <xdr:sp macro="" textlink="">
          <xdr:nvSpPr>
            <xdr:cNvPr id="0" name=""/>
            <xdr:cNvSpPr>
              <a:spLocks noTextEdit="1"/>
            </xdr:cNvSpPr>
          </xdr:nvSpPr>
          <xdr:spPr>
            <a:xfrm>
              <a:off x="4732020" y="18821401"/>
              <a:ext cx="182880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0</xdr:row>
      <xdr:rowOff>22861</xdr:rowOff>
    </xdr:from>
    <xdr:to>
      <xdr:col>2</xdr:col>
      <xdr:colOff>1866900</xdr:colOff>
      <xdr:row>6</xdr:row>
      <xdr:rowOff>137161</xdr:rowOff>
    </xdr:to>
    <mc:AlternateContent xmlns:mc="http://schemas.openxmlformats.org/markup-compatibility/2006" xmlns:a14="http://schemas.microsoft.com/office/drawing/2010/main">
      <mc:Choice Requires="a14">
        <xdr:graphicFrame macro="">
          <xdr:nvGraphicFramePr>
            <xdr:cNvPr id="14" name="Verified_Label">
              <a:extLst>
                <a:ext uri="{FF2B5EF4-FFF2-40B4-BE49-F238E27FC236}">
                  <a16:creationId xmlns:a16="http://schemas.microsoft.com/office/drawing/2014/main" id="{0F109706-AFCC-6974-BF04-AFF4FC25FEA1}"/>
                </a:ext>
              </a:extLst>
            </xdr:cNvPr>
            <xdr:cNvGraphicFramePr/>
          </xdr:nvGraphicFramePr>
          <xdr:xfrm>
            <a:off x="0" y="0"/>
            <a:ext cx="0" cy="0"/>
          </xdr:xfrm>
          <a:graphic>
            <a:graphicData uri="http://schemas.microsoft.com/office/drawing/2010/slicer">
              <sle:slicer xmlns:sle="http://schemas.microsoft.com/office/drawing/2010/slicer" name="Verified_Label"/>
            </a:graphicData>
          </a:graphic>
        </xdr:graphicFrame>
      </mc:Choice>
      <mc:Fallback xmlns="">
        <xdr:sp macro="" textlink="">
          <xdr:nvSpPr>
            <xdr:cNvPr id="0" name=""/>
            <xdr:cNvSpPr>
              <a:spLocks noTextEdit="1"/>
            </xdr:cNvSpPr>
          </xdr:nvSpPr>
          <xdr:spPr>
            <a:xfrm>
              <a:off x="2865120" y="228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244231</xdr:colOff>
      <xdr:row>81</xdr:row>
      <xdr:rowOff>78153</xdr:rowOff>
    </xdr:to>
    <xdr:pic>
      <xdr:nvPicPr>
        <xdr:cNvPr id="4" name="Picture 3">
          <a:extLst>
            <a:ext uri="{FF2B5EF4-FFF2-40B4-BE49-F238E27FC236}">
              <a16:creationId xmlns:a16="http://schemas.microsoft.com/office/drawing/2014/main" id="{B3DAB8AC-FEAC-ADFE-9DC5-3CE246AA4C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837769" cy="15640538"/>
        </a:xfrm>
        <a:prstGeom prst="rect">
          <a:avLst/>
        </a:prstGeom>
      </xdr:spPr>
    </xdr:pic>
    <xdr:clientData/>
  </xdr:twoCellAnchor>
  <xdr:twoCellAnchor>
    <xdr:from>
      <xdr:col>1</xdr:col>
      <xdr:colOff>32629</xdr:colOff>
      <xdr:row>10</xdr:row>
      <xdr:rowOff>171547</xdr:rowOff>
    </xdr:from>
    <xdr:to>
      <xdr:col>11</xdr:col>
      <xdr:colOff>214923</xdr:colOff>
      <xdr:row>25</xdr:row>
      <xdr:rowOff>145952</xdr:rowOff>
    </xdr:to>
    <xdr:graphicFrame macro="">
      <xdr:nvGraphicFramePr>
        <xdr:cNvPr id="3" name="Chart 2">
          <a:extLst>
            <a:ext uri="{FF2B5EF4-FFF2-40B4-BE49-F238E27FC236}">
              <a16:creationId xmlns:a16="http://schemas.microsoft.com/office/drawing/2014/main" id="{DA36C699-A8DA-4521-966B-8BFB4C677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498233</xdr:colOff>
      <xdr:row>10</xdr:row>
      <xdr:rowOff>181317</xdr:rowOff>
    </xdr:from>
    <xdr:to>
      <xdr:col>25</xdr:col>
      <xdr:colOff>68582</xdr:colOff>
      <xdr:row>25</xdr:row>
      <xdr:rowOff>166077</xdr:rowOff>
    </xdr:to>
    <xdr:graphicFrame macro="">
      <xdr:nvGraphicFramePr>
        <xdr:cNvPr id="5" name="Chart 4">
          <a:extLst>
            <a:ext uri="{FF2B5EF4-FFF2-40B4-BE49-F238E27FC236}">
              <a16:creationId xmlns:a16="http://schemas.microsoft.com/office/drawing/2014/main" id="{99DCAD05-785F-492D-934A-6B4902B11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254000</xdr:colOff>
      <xdr:row>26</xdr:row>
      <xdr:rowOff>155331</xdr:rowOff>
    </xdr:from>
    <xdr:to>
      <xdr:col>27</xdr:col>
      <xdr:colOff>541607</xdr:colOff>
      <xdr:row>44</xdr:row>
      <xdr:rowOff>132471</xdr:rowOff>
    </xdr:to>
    <xdr:graphicFrame macro="">
      <xdr:nvGraphicFramePr>
        <xdr:cNvPr id="7" name="Chart 6">
          <a:extLst>
            <a:ext uri="{FF2B5EF4-FFF2-40B4-BE49-F238E27FC236}">
              <a16:creationId xmlns:a16="http://schemas.microsoft.com/office/drawing/2014/main" id="{96500832-08DC-468B-B62B-5BF8848CC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146537</xdr:colOff>
      <xdr:row>45</xdr:row>
      <xdr:rowOff>97691</xdr:rowOff>
    </xdr:from>
    <xdr:to>
      <xdr:col>24</xdr:col>
      <xdr:colOff>456081</xdr:colOff>
      <xdr:row>59</xdr:row>
      <xdr:rowOff>126997</xdr:rowOff>
    </xdr:to>
    <xdr:graphicFrame macro="">
      <xdr:nvGraphicFramePr>
        <xdr:cNvPr id="9" name="Chart 8">
          <a:extLst>
            <a:ext uri="{FF2B5EF4-FFF2-40B4-BE49-F238E27FC236}">
              <a16:creationId xmlns:a16="http://schemas.microsoft.com/office/drawing/2014/main" id="{30AE3AC0-F377-4BB2-BDD5-83E9F9481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30479</xdr:colOff>
      <xdr:row>26</xdr:row>
      <xdr:rowOff>152010</xdr:rowOff>
    </xdr:from>
    <xdr:to>
      <xdr:col>11</xdr:col>
      <xdr:colOff>537308</xdr:colOff>
      <xdr:row>44</xdr:row>
      <xdr:rowOff>136770</xdr:rowOff>
    </xdr:to>
    <xdr:graphicFrame macro="">
      <xdr:nvGraphicFramePr>
        <xdr:cNvPr id="11" name="Chart 10">
          <a:extLst>
            <a:ext uri="{FF2B5EF4-FFF2-40B4-BE49-F238E27FC236}">
              <a16:creationId xmlns:a16="http://schemas.microsoft.com/office/drawing/2014/main" id="{89E3C88E-D386-487D-AD32-EC534F80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575407</xdr:colOff>
      <xdr:row>45</xdr:row>
      <xdr:rowOff>79325</xdr:rowOff>
    </xdr:from>
    <xdr:to>
      <xdr:col>13</xdr:col>
      <xdr:colOff>19538</xdr:colOff>
      <xdr:row>59</xdr:row>
      <xdr:rowOff>126999</xdr:rowOff>
    </xdr:to>
    <xdr:graphicFrame macro="">
      <xdr:nvGraphicFramePr>
        <xdr:cNvPr id="13" name="Chart 12">
          <a:extLst>
            <a:ext uri="{FF2B5EF4-FFF2-40B4-BE49-F238E27FC236}">
              <a16:creationId xmlns:a16="http://schemas.microsoft.com/office/drawing/2014/main" id="{D8875A02-45F8-4769-A3B0-D47AFD0B9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566615</xdr:colOff>
      <xdr:row>61</xdr:row>
      <xdr:rowOff>968</xdr:rowOff>
    </xdr:from>
    <xdr:to>
      <xdr:col>11</xdr:col>
      <xdr:colOff>116059</xdr:colOff>
      <xdr:row>77</xdr:row>
      <xdr:rowOff>127000</xdr:rowOff>
    </xdr:to>
    <xdr:graphicFrame macro="">
      <xdr:nvGraphicFramePr>
        <xdr:cNvPr id="15" name="Chart 14">
          <a:extLst>
            <a:ext uri="{FF2B5EF4-FFF2-40B4-BE49-F238E27FC236}">
              <a16:creationId xmlns:a16="http://schemas.microsoft.com/office/drawing/2014/main" id="{A2A48848-56EE-4C4A-AB88-626C206D6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214924</xdr:colOff>
      <xdr:row>60</xdr:row>
      <xdr:rowOff>134619</xdr:rowOff>
    </xdr:from>
    <xdr:to>
      <xdr:col>27</xdr:col>
      <xdr:colOff>473143</xdr:colOff>
      <xdr:row>77</xdr:row>
      <xdr:rowOff>136769</xdr:rowOff>
    </xdr:to>
    <xdr:graphicFrame macro="">
      <xdr:nvGraphicFramePr>
        <xdr:cNvPr id="17" name="Chart 16">
          <a:extLst>
            <a:ext uri="{FF2B5EF4-FFF2-40B4-BE49-F238E27FC236}">
              <a16:creationId xmlns:a16="http://schemas.microsoft.com/office/drawing/2014/main" id="{5DDF0CE5-71D5-4B44-A2A5-B060CE443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263770</xdr:colOff>
      <xdr:row>11</xdr:row>
      <xdr:rowOff>127001</xdr:rowOff>
    </xdr:from>
    <xdr:to>
      <xdr:col>14</xdr:col>
      <xdr:colOff>438505</xdr:colOff>
      <xdr:row>25</xdr:row>
      <xdr:rowOff>68386</xdr:rowOff>
    </xdr:to>
    <mc:AlternateContent xmlns:mc="http://schemas.openxmlformats.org/markup-compatibility/2006" xmlns:a14="http://schemas.microsoft.com/office/drawing/2010/main">
      <mc:Choice Requires="a14">
        <xdr:graphicFrame macro="">
          <xdr:nvGraphicFramePr>
            <xdr:cNvPr id="19" name="Verified_Label 1">
              <a:extLst>
                <a:ext uri="{FF2B5EF4-FFF2-40B4-BE49-F238E27FC236}">
                  <a16:creationId xmlns:a16="http://schemas.microsoft.com/office/drawing/2014/main" id="{569BFD37-AF94-41DD-93D2-39D2E2782DC0}"/>
                </a:ext>
              </a:extLst>
            </xdr:cNvPr>
            <xdr:cNvGraphicFramePr/>
          </xdr:nvGraphicFramePr>
          <xdr:xfrm>
            <a:off x="0" y="0"/>
            <a:ext cx="0" cy="0"/>
          </xdr:xfrm>
          <a:graphic>
            <a:graphicData uri="http://schemas.microsoft.com/office/drawing/2010/slicer">
              <sle:slicer xmlns:sle="http://schemas.microsoft.com/office/drawing/2010/slicer" name="Verified_Label 1"/>
            </a:graphicData>
          </a:graphic>
        </xdr:graphicFrame>
      </mc:Choice>
      <mc:Fallback xmlns="">
        <xdr:sp macro="" textlink="">
          <xdr:nvSpPr>
            <xdr:cNvPr id="0" name=""/>
            <xdr:cNvSpPr>
              <a:spLocks noTextEdit="1"/>
            </xdr:cNvSpPr>
          </xdr:nvSpPr>
          <xdr:spPr>
            <a:xfrm>
              <a:off x="6926385" y="2696309"/>
              <a:ext cx="1991812" cy="2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97692</xdr:colOff>
      <xdr:row>11</xdr:row>
      <xdr:rowOff>117230</xdr:rowOff>
    </xdr:from>
    <xdr:to>
      <xdr:col>27</xdr:col>
      <xdr:colOff>533986</xdr:colOff>
      <xdr:row>25</xdr:row>
      <xdr:rowOff>29308</xdr:rowOff>
    </xdr:to>
    <mc:AlternateContent xmlns:mc="http://schemas.openxmlformats.org/markup-compatibility/2006" xmlns:a14="http://schemas.microsoft.com/office/drawing/2010/main">
      <mc:Choice Requires="a14">
        <xdr:graphicFrame macro="">
          <xdr:nvGraphicFramePr>
            <xdr:cNvPr id="21" name="Platform 1">
              <a:extLst>
                <a:ext uri="{FF2B5EF4-FFF2-40B4-BE49-F238E27FC236}">
                  <a16:creationId xmlns:a16="http://schemas.microsoft.com/office/drawing/2014/main" id="{A8908E8D-095D-46C9-952A-5983C5F6F128}"/>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5240000" y="2686538"/>
              <a:ext cx="1647678" cy="251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508000</xdr:colOff>
      <xdr:row>45</xdr:row>
      <xdr:rowOff>146538</xdr:rowOff>
    </xdr:from>
    <xdr:to>
      <xdr:col>27</xdr:col>
      <xdr:colOff>505709</xdr:colOff>
      <xdr:row>59</xdr:row>
      <xdr:rowOff>48847</xdr:rowOff>
    </xdr:to>
    <mc:AlternateContent xmlns:mc="http://schemas.openxmlformats.org/markup-compatibility/2006" xmlns:a14="http://schemas.microsoft.com/office/drawing/2010/main">
      <mc:Choice Requires="a14">
        <xdr:graphicFrame macro="">
          <xdr:nvGraphicFramePr>
            <xdr:cNvPr id="23" name="AI_Generated 1">
              <a:extLst>
                <a:ext uri="{FF2B5EF4-FFF2-40B4-BE49-F238E27FC236}">
                  <a16:creationId xmlns:a16="http://schemas.microsoft.com/office/drawing/2014/main" id="{B2D6D384-C179-445F-A172-27D0CCC37C08}"/>
                </a:ext>
              </a:extLst>
            </xdr:cNvPr>
            <xdr:cNvGraphicFramePr/>
          </xdr:nvGraphicFramePr>
          <xdr:xfrm>
            <a:off x="0" y="0"/>
            <a:ext cx="0" cy="0"/>
          </xdr:xfrm>
          <a:graphic>
            <a:graphicData uri="http://schemas.microsoft.com/office/drawing/2010/slicer">
              <sle:slicer xmlns:sle="http://schemas.microsoft.com/office/drawing/2010/slicer" name="AI_Generated 1"/>
            </a:graphicData>
          </a:graphic>
        </xdr:graphicFrame>
      </mc:Choice>
      <mc:Fallback xmlns="">
        <xdr:sp macro="" textlink="">
          <xdr:nvSpPr>
            <xdr:cNvPr id="0" name=""/>
            <xdr:cNvSpPr>
              <a:spLocks noTextEdit="1"/>
            </xdr:cNvSpPr>
          </xdr:nvSpPr>
          <xdr:spPr>
            <a:xfrm>
              <a:off x="15044615" y="9026769"/>
              <a:ext cx="1814786" cy="2500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566617</xdr:colOff>
      <xdr:row>27</xdr:row>
      <xdr:rowOff>68383</xdr:rowOff>
    </xdr:from>
    <xdr:to>
      <xdr:col>15</xdr:col>
      <xdr:colOff>223325</xdr:colOff>
      <xdr:row>44</xdr:row>
      <xdr:rowOff>68385</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7719456E-0E2F-4CC6-997C-1BD1DC6347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29232" y="5607537"/>
              <a:ext cx="2079478" cy="3155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134621</xdr:colOff>
      <xdr:row>61</xdr:row>
      <xdr:rowOff>58614</xdr:rowOff>
    </xdr:from>
    <xdr:to>
      <xdr:col>14</xdr:col>
      <xdr:colOff>134621</xdr:colOff>
      <xdr:row>77</xdr:row>
      <xdr:rowOff>68385</xdr:rowOff>
    </xdr:to>
    <mc:AlternateContent xmlns:mc="http://schemas.openxmlformats.org/markup-compatibility/2006" xmlns:a14="http://schemas.microsoft.com/office/drawing/2010/main">
      <mc:Choice Requires="a14">
        <xdr:graphicFrame macro="">
          <xdr:nvGraphicFramePr>
            <xdr:cNvPr id="27" name="Content_Type 1">
              <a:extLst>
                <a:ext uri="{FF2B5EF4-FFF2-40B4-BE49-F238E27FC236}">
                  <a16:creationId xmlns:a16="http://schemas.microsoft.com/office/drawing/2014/main" id="{73B06051-61B5-4FE7-A447-720D9365288C}"/>
                </a:ext>
              </a:extLst>
            </xdr:cNvPr>
            <xdr:cNvGraphicFramePr/>
          </xdr:nvGraphicFramePr>
          <xdr:xfrm>
            <a:off x="0" y="0"/>
            <a:ext cx="0" cy="0"/>
          </xdr:xfrm>
          <a:graphic>
            <a:graphicData uri="http://schemas.microsoft.com/office/drawing/2010/slicer">
              <sle:slicer xmlns:sle="http://schemas.microsoft.com/office/drawing/2010/slicer" name="Content_Type 1"/>
            </a:graphicData>
          </a:graphic>
        </xdr:graphicFrame>
      </mc:Choice>
      <mc:Fallback xmlns="">
        <xdr:sp macro="" textlink="">
          <xdr:nvSpPr>
            <xdr:cNvPr id="0" name=""/>
            <xdr:cNvSpPr>
              <a:spLocks noTextEdit="1"/>
            </xdr:cNvSpPr>
          </xdr:nvSpPr>
          <xdr:spPr>
            <a:xfrm>
              <a:off x="6797236" y="11908691"/>
              <a:ext cx="1817077" cy="2979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25976</xdr:colOff>
      <xdr:row>5</xdr:row>
      <xdr:rowOff>25976</xdr:rowOff>
    </xdr:from>
    <xdr:to>
      <xdr:col>10</xdr:col>
      <xdr:colOff>488462</xdr:colOff>
      <xdr:row>9</xdr:row>
      <xdr:rowOff>147204</xdr:rowOff>
    </xdr:to>
    <xdr:sp macro="" textlink="$AE$7">
      <xdr:nvSpPr>
        <xdr:cNvPr id="28" name="Rectangle: Rounded Corners 27">
          <a:extLst>
            <a:ext uri="{FF2B5EF4-FFF2-40B4-BE49-F238E27FC236}">
              <a16:creationId xmlns:a16="http://schemas.microsoft.com/office/drawing/2014/main" id="{728BA589-018B-3222-50E2-21EEFF6FCB7E}"/>
            </a:ext>
          </a:extLst>
        </xdr:cNvPr>
        <xdr:cNvSpPr/>
      </xdr:nvSpPr>
      <xdr:spPr>
        <a:xfrm>
          <a:off x="631668" y="1481591"/>
          <a:ext cx="5913717" cy="863690"/>
        </a:xfrm>
        <a:prstGeom prst="roundRect">
          <a:avLst/>
        </a:prstGeom>
        <a:scene3d>
          <a:camera prst="orthographicFront"/>
          <a:lightRig rig="threePt" dir="t"/>
        </a:scene3d>
        <a:sp3d>
          <a:bevelT w="152400" h="50800" prst="softRound"/>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E33DF887-C8E5-4B5A-9619-63B04428C327}" type="TxLink">
            <a:rPr lang="en-US" sz="2400" b="0" i="0" u="none" strike="noStrike">
              <a:solidFill>
                <a:srgbClr val="000000"/>
              </a:solidFill>
              <a:latin typeface="+mn-lt"/>
              <a:ea typeface="Calibri"/>
              <a:cs typeface="Calibri"/>
            </a:rPr>
            <a:pPr algn="l"/>
            <a:t>17</a:t>
          </a:fld>
          <a:endParaRPr lang="en-US" sz="2400">
            <a:latin typeface="+mn-lt"/>
          </a:endParaRPr>
        </a:p>
      </xdr:txBody>
    </xdr:sp>
    <xdr:clientData/>
  </xdr:twoCellAnchor>
  <xdr:twoCellAnchor>
    <xdr:from>
      <xdr:col>4</xdr:col>
      <xdr:colOff>527539</xdr:colOff>
      <xdr:row>6</xdr:row>
      <xdr:rowOff>46181</xdr:rowOff>
    </xdr:from>
    <xdr:to>
      <xdr:col>9</xdr:col>
      <xdr:colOff>591040</xdr:colOff>
      <xdr:row>8</xdr:row>
      <xdr:rowOff>93252</xdr:rowOff>
    </xdr:to>
    <xdr:sp macro="" textlink="">
      <xdr:nvSpPr>
        <xdr:cNvPr id="29" name="TextBox 28">
          <a:extLst>
            <a:ext uri="{FF2B5EF4-FFF2-40B4-BE49-F238E27FC236}">
              <a16:creationId xmlns:a16="http://schemas.microsoft.com/office/drawing/2014/main" id="{0BB48C75-9070-8F0F-7B48-95D75C3DEA23}"/>
            </a:ext>
          </a:extLst>
        </xdr:cNvPr>
        <xdr:cNvSpPr txBox="1"/>
      </xdr:nvSpPr>
      <xdr:spPr>
        <a:xfrm>
          <a:off x="2950308" y="1687412"/>
          <a:ext cx="3091963" cy="418302"/>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2800" b="1"/>
            <a:t>TOTAL RECORDS</a:t>
          </a:r>
        </a:p>
      </xdr:txBody>
    </xdr:sp>
    <xdr:clientData/>
  </xdr:twoCellAnchor>
  <xdr:twoCellAnchor>
    <xdr:from>
      <xdr:col>10</xdr:col>
      <xdr:colOff>566616</xdr:colOff>
      <xdr:row>5</xdr:row>
      <xdr:rowOff>35745</xdr:rowOff>
    </xdr:from>
    <xdr:to>
      <xdr:col>19</xdr:col>
      <xdr:colOff>170074</xdr:colOff>
      <xdr:row>9</xdr:row>
      <xdr:rowOff>174291</xdr:rowOff>
    </xdr:to>
    <xdr:sp macro="" textlink="$AE$8">
      <xdr:nvSpPr>
        <xdr:cNvPr id="30" name="Rectangle: Rounded Corners 29">
          <a:extLst>
            <a:ext uri="{FF2B5EF4-FFF2-40B4-BE49-F238E27FC236}">
              <a16:creationId xmlns:a16="http://schemas.microsoft.com/office/drawing/2014/main" id="{C6FA1482-DFD9-B010-973B-B18137C8712F}"/>
            </a:ext>
          </a:extLst>
        </xdr:cNvPr>
        <xdr:cNvSpPr/>
      </xdr:nvSpPr>
      <xdr:spPr>
        <a:xfrm>
          <a:off x="6623539" y="1491360"/>
          <a:ext cx="5054689" cy="881008"/>
        </a:xfrm>
        <a:prstGeom prst="roundRect">
          <a:avLst/>
        </a:prstGeom>
        <a:scene3d>
          <a:camera prst="orthographicFront"/>
          <a:lightRig rig="threePt" dir="t"/>
        </a:scene3d>
        <a:sp3d>
          <a:bevelT w="152400" h="50800" prst="softRound"/>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75DF5408-5EA9-4F48-9140-4606E1C264CB}" type="TxLink">
            <a:rPr lang="en-US" sz="2400" b="0" i="0" u="none" strike="noStrike">
              <a:solidFill>
                <a:srgbClr val="000000"/>
              </a:solidFill>
              <a:latin typeface="Calibri"/>
              <a:ea typeface="Calibri"/>
              <a:cs typeface="Calibri"/>
            </a:rPr>
            <a:pPr algn="l"/>
            <a:t>#REF!</a:t>
          </a:fld>
          <a:endParaRPr lang="en-IN" sz="2400"/>
        </a:p>
      </xdr:txBody>
    </xdr:sp>
    <xdr:clientData/>
  </xdr:twoCellAnchor>
  <xdr:twoCellAnchor>
    <xdr:from>
      <xdr:col>19</xdr:col>
      <xdr:colOff>263770</xdr:colOff>
      <xdr:row>5</xdr:row>
      <xdr:rowOff>34637</xdr:rowOff>
    </xdr:from>
    <xdr:to>
      <xdr:col>27</xdr:col>
      <xdr:colOff>499566</xdr:colOff>
      <xdr:row>9</xdr:row>
      <xdr:rowOff>173182</xdr:rowOff>
    </xdr:to>
    <xdr:sp macro="" textlink="$AE$9">
      <xdr:nvSpPr>
        <xdr:cNvPr id="31" name="Rectangle: Rounded Corners 30">
          <a:extLst>
            <a:ext uri="{FF2B5EF4-FFF2-40B4-BE49-F238E27FC236}">
              <a16:creationId xmlns:a16="http://schemas.microsoft.com/office/drawing/2014/main" id="{7FB67B7D-2DC1-0E72-3A48-FFEAF6E4B40D}"/>
            </a:ext>
          </a:extLst>
        </xdr:cNvPr>
        <xdr:cNvSpPr/>
      </xdr:nvSpPr>
      <xdr:spPr>
        <a:xfrm>
          <a:off x="11771924" y="1490252"/>
          <a:ext cx="5081334" cy="881007"/>
        </a:xfrm>
        <a:prstGeom prst="roundRect">
          <a:avLst/>
        </a:prstGeom>
        <a:scene3d>
          <a:camera prst="orthographicFront"/>
          <a:lightRig rig="threePt" dir="t"/>
        </a:scene3d>
        <a:sp3d>
          <a:bevelT w="152400" h="50800" prst="softRound"/>
        </a:sp3d>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fld id="{8EAEAA3F-734C-4290-A17D-C1F716ED51D2}" type="TxLink">
            <a:rPr lang="en-US" sz="2000" b="0" i="0" u="none" strike="noStrike">
              <a:solidFill>
                <a:srgbClr val="000000"/>
              </a:solidFill>
              <a:latin typeface="Calibri"/>
              <a:ea typeface="Calibri"/>
              <a:cs typeface="Calibri"/>
            </a:rPr>
            <a:pPr algn="l"/>
            <a:t>2606174.294</a:t>
          </a:fld>
          <a:endParaRPr lang="en-IN" sz="2000"/>
        </a:p>
      </xdr:txBody>
    </xdr:sp>
    <xdr:clientData/>
  </xdr:twoCellAnchor>
  <xdr:twoCellAnchor>
    <xdr:from>
      <xdr:col>14</xdr:col>
      <xdr:colOff>474919</xdr:colOff>
      <xdr:row>6</xdr:row>
      <xdr:rowOff>32192</xdr:rowOff>
    </xdr:from>
    <xdr:to>
      <xdr:col>18</xdr:col>
      <xdr:colOff>468923</xdr:colOff>
      <xdr:row>8</xdr:row>
      <xdr:rowOff>139876</xdr:rowOff>
    </xdr:to>
    <xdr:sp macro="" textlink="">
      <xdr:nvSpPr>
        <xdr:cNvPr id="34" name="TextBox 33">
          <a:extLst>
            <a:ext uri="{FF2B5EF4-FFF2-40B4-BE49-F238E27FC236}">
              <a16:creationId xmlns:a16="http://schemas.microsoft.com/office/drawing/2014/main" id="{8AB87478-6C3C-20CF-3802-7A28C2F6C0D8}"/>
            </a:ext>
          </a:extLst>
        </xdr:cNvPr>
        <xdr:cNvSpPr txBox="1"/>
      </xdr:nvSpPr>
      <xdr:spPr>
        <a:xfrm>
          <a:off x="8954611" y="1673423"/>
          <a:ext cx="2416774" cy="478915"/>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IN" sz="2800" b="1"/>
            <a:t>FAKE COUNT</a:t>
          </a:r>
        </a:p>
      </xdr:txBody>
    </xdr:sp>
    <xdr:clientData/>
  </xdr:twoCellAnchor>
  <xdr:twoCellAnchor>
    <xdr:from>
      <xdr:col>21</xdr:col>
      <xdr:colOff>577050</xdr:colOff>
      <xdr:row>6</xdr:row>
      <xdr:rowOff>45293</xdr:rowOff>
    </xdr:from>
    <xdr:to>
      <xdr:col>27</xdr:col>
      <xdr:colOff>351693</xdr:colOff>
      <xdr:row>8</xdr:row>
      <xdr:rowOff>166076</xdr:rowOff>
    </xdr:to>
    <xdr:sp macro="" textlink="">
      <xdr:nvSpPr>
        <xdr:cNvPr id="35" name="TextBox 34">
          <a:extLst>
            <a:ext uri="{FF2B5EF4-FFF2-40B4-BE49-F238E27FC236}">
              <a16:creationId xmlns:a16="http://schemas.microsoft.com/office/drawing/2014/main" id="{BECF54E1-64E0-1C9C-16EE-523AA8EA512F}"/>
            </a:ext>
          </a:extLst>
        </xdr:cNvPr>
        <xdr:cNvSpPr txBox="1"/>
      </xdr:nvSpPr>
      <xdr:spPr>
        <a:xfrm>
          <a:off x="13296588" y="1686524"/>
          <a:ext cx="3408797" cy="492014"/>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IN" sz="2800" b="1"/>
            <a:t>Average Engagement</a:t>
          </a:r>
        </a:p>
      </xdr:txBody>
    </xdr:sp>
    <xdr:clientData/>
  </xdr:twoCellAnchor>
  <xdr:twoCellAnchor>
    <xdr:from>
      <xdr:col>1</xdr:col>
      <xdr:colOff>36858</xdr:colOff>
      <xdr:row>0</xdr:row>
      <xdr:rowOff>625230</xdr:rowOff>
    </xdr:from>
    <xdr:to>
      <xdr:col>28</xdr:col>
      <xdr:colOff>1</xdr:colOff>
      <xdr:row>4</xdr:row>
      <xdr:rowOff>135214</xdr:rowOff>
    </xdr:to>
    <xdr:sp macro="" textlink="">
      <xdr:nvSpPr>
        <xdr:cNvPr id="36" name="Rectangle 35">
          <a:extLst>
            <a:ext uri="{FF2B5EF4-FFF2-40B4-BE49-F238E27FC236}">
              <a16:creationId xmlns:a16="http://schemas.microsoft.com/office/drawing/2014/main" id="{3D5AAF54-64A2-7071-0AD3-282880DB405A}"/>
            </a:ext>
          </a:extLst>
        </xdr:cNvPr>
        <xdr:cNvSpPr/>
      </xdr:nvSpPr>
      <xdr:spPr>
        <a:xfrm>
          <a:off x="642550" y="625230"/>
          <a:ext cx="16316836" cy="779984"/>
        </a:xfrm>
        <a:prstGeom prst="rect">
          <a:avLst/>
        </a:prstGeom>
        <a:solidFill>
          <a:schemeClr val="accent5">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443390</xdr:colOff>
      <xdr:row>1</xdr:row>
      <xdr:rowOff>84372</xdr:rowOff>
    </xdr:from>
    <xdr:to>
      <xdr:col>23</xdr:col>
      <xdr:colOff>478026</xdr:colOff>
      <xdr:row>4</xdr:row>
      <xdr:rowOff>67053</xdr:rowOff>
    </xdr:to>
    <xdr:sp macro="" textlink="">
      <xdr:nvSpPr>
        <xdr:cNvPr id="37" name="TextBox 36">
          <a:extLst>
            <a:ext uri="{FF2B5EF4-FFF2-40B4-BE49-F238E27FC236}">
              <a16:creationId xmlns:a16="http://schemas.microsoft.com/office/drawing/2014/main" id="{2D208DEA-879F-C27A-62BB-1F15E9D86750}"/>
            </a:ext>
          </a:extLst>
        </xdr:cNvPr>
        <xdr:cNvSpPr txBox="1"/>
      </xdr:nvSpPr>
      <xdr:spPr>
        <a:xfrm>
          <a:off x="3471852" y="797526"/>
          <a:ext cx="10937097" cy="53952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  MULTIMODAL FAKE</a:t>
          </a:r>
          <a:r>
            <a:rPr lang="en-IN" sz="3200" b="1" baseline="0">
              <a:solidFill>
                <a:schemeClr val="bg1"/>
              </a:solidFill>
            </a:rPr>
            <a:t> CONTENT ANALYSIS DASHBOARD</a:t>
          </a:r>
          <a:endParaRPr lang="en-IN" sz="32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HP" refreshedDate="46118.884895949072" createdVersion="8" refreshedVersion="8" minRefreshableVersion="3" recordCount="500" xr:uid="{3C2CC57E-D85F-4C6A-B146-43512584D35B}">
  <cacheSource type="worksheet">
    <worksheetSource ref="A1:U501" sheet="CLEAN DATA"/>
  </cacheSource>
  <cacheFields count="23">
    <cacheField name="Record_ID" numFmtId="0">
      <sharedItems/>
    </cacheField>
    <cacheField name="Date" numFmtId="14">
      <sharedItems containsSemiMixedTypes="0" containsNonDate="0" containsDate="1" containsString="0" minDate="2024-01-02T00:00:00" maxDate="2024-12-31T00:00:00" count="282">
        <d v="2024-11-23T00:00:00"/>
        <d v="2024-01-17T00:00:00"/>
        <d v="2024-08-17T00:00:00"/>
        <d v="2024-02-19T00:00:00"/>
        <d v="2024-07-04T00:00:00"/>
        <d v="2024-11-21T00:00:00"/>
        <d v="2024-03-24T00:00:00"/>
        <d v="2024-07-24T00:00:00"/>
        <d v="2024-03-12T00:00:00"/>
        <d v="2024-01-25T00:00:00"/>
        <d v="2024-01-06T00:00:00"/>
        <d v="2024-09-16T00:00:00"/>
        <d v="2024-01-10T00:00:00"/>
        <d v="2024-03-05T00:00:00"/>
        <d v="2024-12-09T00:00:00"/>
        <d v="2024-02-06T00:00:00"/>
        <d v="2024-10-19T00:00:00"/>
        <d v="2024-02-01T00:00:00"/>
        <d v="2024-08-14T00:00:00"/>
        <d v="2024-07-13T00:00:00"/>
        <d v="2024-05-31T00:00:00"/>
        <d v="2024-02-11T00:00:00"/>
        <d v="2024-11-13T00:00:00"/>
        <d v="2024-02-07T00:00:00"/>
        <d v="2024-03-21T00:00:00"/>
        <d v="2024-02-29T00:00:00"/>
        <d v="2024-05-08T00:00:00"/>
        <d v="2024-12-27T00:00:00"/>
        <d v="2024-03-16T00:00:00"/>
        <d v="2024-06-30T00:00:00"/>
        <d v="2024-07-29T00:00:00"/>
        <d v="2024-04-26T00:00:00"/>
        <d v="2024-06-18T00:00:00"/>
        <d v="2024-11-06T00:00:00"/>
        <d v="2024-02-05T00:00:00"/>
        <d v="2024-12-22T00:00:00"/>
        <d v="2024-10-07T00:00:00"/>
        <d v="2024-08-30T00:00:00"/>
        <d v="2024-09-10T00:00:00"/>
        <d v="2024-11-09T00:00:00"/>
        <d v="2024-11-16T00:00:00"/>
        <d v="2024-04-28T00:00:00"/>
        <d v="2024-04-22T00:00:00"/>
        <d v="2024-11-14T00:00:00"/>
        <d v="2024-08-20T00:00:00"/>
        <d v="2024-06-28T00:00:00"/>
        <d v="2024-04-21T00:00:00"/>
        <d v="2024-01-14T00:00:00"/>
        <d v="2024-03-02T00:00:00"/>
        <d v="2024-10-30T00:00:00"/>
        <d v="2024-09-21T00:00:00"/>
        <d v="2024-02-17T00:00:00"/>
        <d v="2024-04-20T00:00:00"/>
        <d v="2024-01-24T00:00:00"/>
        <d v="2024-09-02T00:00:00"/>
        <d v="2024-11-18T00:00:00"/>
        <d v="2024-08-18T00:00:00"/>
        <d v="2024-12-25T00:00:00"/>
        <d v="2024-04-25T00:00:00"/>
        <d v="2024-08-27T00:00:00"/>
        <d v="2024-02-16T00:00:00"/>
        <d v="2024-04-02T00:00:00"/>
        <d v="2024-05-27T00:00:00"/>
        <d v="2024-08-24T00:00:00"/>
        <d v="2024-03-08T00:00:00"/>
        <d v="2024-10-09T00:00:00"/>
        <d v="2024-07-31T00:00:00"/>
        <d v="2024-10-02T00:00:00"/>
        <d v="2024-04-29T00:00:00"/>
        <d v="2024-05-15T00:00:00"/>
        <d v="2024-01-19T00:00:00"/>
        <d v="2024-12-21T00:00:00"/>
        <d v="2024-12-15T00:00:00"/>
        <d v="2024-11-22T00:00:00"/>
        <d v="2024-06-25T00:00:00"/>
        <d v="2024-07-02T00:00:00"/>
        <d v="2024-04-27T00:00:00"/>
        <d v="2024-08-13T00:00:00"/>
        <d v="2024-07-06T00:00:00"/>
        <d v="2024-12-12T00:00:00"/>
        <d v="2024-12-24T00:00:00"/>
        <d v="2024-07-17T00:00:00"/>
        <d v="2024-12-19T00:00:00"/>
        <d v="2024-05-21T00:00:00"/>
        <d v="2024-10-16T00:00:00"/>
        <d v="2024-03-07T00:00:00"/>
        <d v="2024-03-30T00:00:00"/>
        <d v="2024-08-19T00:00:00"/>
        <d v="2024-11-20T00:00:00"/>
        <d v="2024-12-17T00:00:00"/>
        <d v="2024-10-14T00:00:00"/>
        <d v="2024-06-08T00:00:00"/>
        <d v="2024-10-20T00:00:00"/>
        <d v="2024-01-04T00:00:00"/>
        <d v="2024-01-26T00:00:00"/>
        <d v="2024-02-26T00:00:00"/>
        <d v="2024-04-18T00:00:00"/>
        <d v="2024-10-13T00:00:00"/>
        <d v="2024-07-26T00:00:00"/>
        <d v="2024-02-24T00:00:00"/>
        <d v="2024-04-11T00:00:00"/>
        <d v="2024-11-25T00:00:00"/>
        <d v="2024-11-26T00:00:00"/>
        <d v="2024-07-28T00:00:00"/>
        <d v="2024-03-17T00:00:00"/>
        <d v="2024-07-11T00:00:00"/>
        <d v="2024-04-08T00:00:00"/>
        <d v="2024-11-12T00:00:00"/>
        <d v="2024-07-05T00:00:00"/>
        <d v="2024-11-24T00:00:00"/>
        <d v="2024-07-10T00:00:00"/>
        <d v="2024-11-19T00:00:00"/>
        <d v="2024-02-04T00:00:00"/>
        <d v="2024-12-02T00:00:00"/>
        <d v="2024-03-10T00:00:00"/>
        <d v="2024-07-23T00:00:00"/>
        <d v="2024-08-08T00:00:00"/>
        <d v="2024-12-13T00:00:00"/>
        <d v="2024-10-17T00:00:00"/>
        <d v="2024-07-22T00:00:00"/>
        <d v="2024-12-26T00:00:00"/>
        <d v="2024-12-07T00:00:00"/>
        <d v="2024-03-03T00:00:00"/>
        <d v="2024-06-07T00:00:00"/>
        <d v="2024-03-23T00:00:00"/>
        <d v="2024-11-10T00:00:00"/>
        <d v="2024-01-15T00:00:00"/>
        <d v="2024-09-04T00:00:00"/>
        <d v="2024-03-14T00:00:00"/>
        <d v="2024-04-07T00:00:00"/>
        <d v="2024-06-29T00:00:00"/>
        <d v="2024-03-09T00:00:00"/>
        <d v="2024-09-15T00:00:00"/>
        <d v="2024-09-07T00:00:00"/>
        <d v="2024-12-01T00:00:00"/>
        <d v="2024-09-22T00:00:00"/>
        <d v="2024-06-11T00:00:00"/>
        <d v="2024-01-22T00:00:00"/>
        <d v="2024-03-11T00:00:00"/>
        <d v="2024-08-29T00:00:00"/>
        <d v="2024-05-26T00:00:00"/>
        <d v="2024-09-25T00:00:00"/>
        <d v="2024-06-21T00:00:00"/>
        <d v="2024-12-08T00:00:00"/>
        <d v="2024-10-25T00:00:00"/>
        <d v="2024-04-13T00:00:00"/>
        <d v="2024-01-02T00:00:00"/>
        <d v="2024-03-01T00:00:00"/>
        <d v="2024-08-05T00:00:00"/>
        <d v="2024-01-09T00:00:00"/>
        <d v="2024-08-12T00:00:00"/>
        <d v="2024-11-02T00:00:00"/>
        <d v="2024-10-11T00:00:00"/>
        <d v="2024-04-04T00:00:00"/>
        <d v="2024-09-28T00:00:00"/>
        <d v="2024-01-27T00:00:00"/>
        <d v="2024-06-04T00:00:00"/>
        <d v="2024-06-12T00:00:00"/>
        <d v="2024-08-01T00:00:00"/>
        <d v="2024-01-18T00:00:00"/>
        <d v="2024-05-16T00:00:00"/>
        <d v="2024-09-27T00:00:00"/>
        <d v="2024-04-01T00:00:00"/>
        <d v="2024-05-03T00:00:00"/>
        <d v="2024-02-20T00:00:00"/>
        <d v="2024-09-08T00:00:00"/>
        <d v="2024-02-12T00:00:00"/>
        <d v="2024-08-15T00:00:00"/>
        <d v="2024-03-27T00:00:00"/>
        <d v="2024-02-09T00:00:00"/>
        <d v="2024-06-19T00:00:00"/>
        <d v="2024-08-25T00:00:00"/>
        <d v="2024-06-24T00:00:00"/>
        <d v="2024-01-12T00:00:00"/>
        <d v="2024-04-15T00:00:00"/>
        <d v="2024-11-01T00:00:00"/>
        <d v="2024-12-10T00:00:00"/>
        <d v="2024-07-15T00:00:00"/>
        <d v="2024-11-30T00:00:00"/>
        <d v="2024-05-20T00:00:00"/>
        <d v="2024-02-28T00:00:00"/>
        <d v="2024-06-01T00:00:00"/>
        <d v="2024-12-29T00:00:00"/>
        <d v="2024-11-17T00:00:00"/>
        <d v="2024-09-06T00:00:00"/>
        <d v="2024-03-22T00:00:00"/>
        <d v="2024-07-14T00:00:00"/>
        <d v="2024-11-11T00:00:00"/>
        <d v="2024-02-10T00:00:00"/>
        <d v="2024-01-30T00:00:00"/>
        <d v="2024-12-28T00:00:00"/>
        <d v="2024-07-03T00:00:00"/>
        <d v="2024-06-13T00:00:00"/>
        <d v="2024-10-15T00:00:00"/>
        <d v="2024-02-23T00:00:00"/>
        <d v="2024-09-23T00:00:00"/>
        <d v="2024-05-19T00:00:00"/>
        <d v="2024-06-16T00:00:00"/>
        <d v="2024-07-09T00:00:00"/>
        <d v="2024-04-19T00:00:00"/>
        <d v="2024-10-21T00:00:00"/>
        <d v="2024-09-01T00:00:00"/>
        <d v="2024-10-27T00:00:00"/>
        <d v="2024-07-12T00:00:00"/>
        <d v="2024-08-16T00:00:00"/>
        <d v="2024-08-02T00:00:00"/>
        <d v="2024-03-18T00:00:00"/>
        <d v="2024-11-07T00:00:00"/>
        <d v="2024-02-03T00:00:00"/>
        <d v="2024-07-16T00:00:00"/>
        <d v="2024-06-27T00:00:00"/>
        <d v="2024-03-28T00:00:00"/>
        <d v="2024-01-03T00:00:00"/>
        <d v="2024-07-25T00:00:00"/>
        <d v="2024-09-30T00:00:00"/>
        <d v="2024-09-24T00:00:00"/>
        <d v="2024-01-07T00:00:00"/>
        <d v="2024-04-03T00:00:00"/>
        <d v="2024-04-24T00:00:00"/>
        <d v="2024-05-22T00:00:00"/>
        <d v="2024-09-12T00:00:00"/>
        <d v="2024-11-05T00:00:00"/>
        <d v="2024-07-20T00:00:00"/>
        <d v="2024-08-22T00:00:00"/>
        <d v="2024-03-29T00:00:00"/>
        <d v="2024-05-01T00:00:00"/>
        <d v="2024-05-10T00:00:00"/>
        <d v="2024-10-08T00:00:00"/>
        <d v="2024-11-28T00:00:00"/>
        <d v="2024-11-29T00:00:00"/>
        <d v="2024-12-16T00:00:00"/>
        <d v="2024-08-23T00:00:00"/>
        <d v="2024-07-30T00:00:00"/>
        <d v="2024-05-25T00:00:00"/>
        <d v="2024-06-10T00:00:00"/>
        <d v="2024-05-14T00:00:00"/>
        <d v="2024-05-13T00:00:00"/>
        <d v="2024-07-08T00:00:00"/>
        <d v="2024-09-03T00:00:00"/>
        <d v="2024-02-13T00:00:00"/>
        <d v="2024-03-26T00:00:00"/>
        <d v="2024-08-06T00:00:00"/>
        <d v="2024-06-26T00:00:00"/>
        <d v="2024-05-30T00:00:00"/>
        <d v="2024-06-22T00:00:00"/>
        <d v="2024-10-22T00:00:00"/>
        <d v="2024-04-10T00:00:00"/>
        <d v="2024-06-09T00:00:00"/>
        <d v="2024-03-20T00:00:00"/>
        <d v="2024-12-05T00:00:00"/>
        <d v="2024-06-06T00:00:00"/>
        <d v="2024-05-07T00:00:00"/>
        <d v="2024-12-14T00:00:00"/>
        <d v="2024-01-05T00:00:00"/>
        <d v="2024-01-31T00:00:00"/>
        <d v="2024-12-18T00:00:00"/>
        <d v="2024-04-05T00:00:00"/>
        <d v="2024-02-02T00:00:00"/>
        <d v="2024-01-23T00:00:00"/>
        <d v="2024-07-21T00:00:00"/>
        <d v="2024-08-04T00:00:00"/>
        <d v="2024-01-21T00:00:00"/>
        <d v="2024-09-13T00:00:00"/>
        <d v="2024-08-28T00:00:00"/>
        <d v="2024-12-30T00:00:00"/>
        <d v="2024-12-03T00:00:00"/>
        <d v="2024-02-25T00:00:00"/>
        <d v="2024-01-29T00:00:00"/>
        <d v="2024-01-16T00:00:00"/>
        <d v="2024-09-29T00:00:00"/>
        <d v="2024-10-04T00:00:00"/>
        <d v="2024-05-12T00:00:00"/>
        <d v="2024-02-27T00:00:00"/>
        <d v="2024-04-16T00:00:00"/>
        <d v="2024-05-29T00:00:00"/>
        <d v="2024-02-15T00:00:00"/>
        <d v="2024-05-23T00:00:00"/>
        <d v="2024-11-15T00:00:00"/>
        <d v="2024-01-08T00:00:00"/>
        <d v="2024-08-31T00:00:00"/>
        <d v="2024-07-19T00:00:00"/>
        <d v="2024-10-31T00:00:00"/>
      </sharedItems>
      <fieldGroup par="22"/>
    </cacheField>
    <cacheField name="Platform" numFmtId="0">
      <sharedItems count="8">
        <s v="Twitter/X"/>
        <s v="Facebook"/>
        <s v="TikTok"/>
        <s v="LinkedIn"/>
        <s v="YouTube"/>
        <s v="Reddit"/>
        <s v="Instagram"/>
        <s v="Telegram"/>
      </sharedItems>
    </cacheField>
    <cacheField name="Content_Type" numFmtId="0">
      <sharedItems count="5">
        <s v="Image"/>
        <s v="Audio"/>
        <s v="Video"/>
        <s v="Text"/>
        <s v="Composite"/>
      </sharedItems>
    </cacheField>
    <cacheField name="Media_Format" numFmtId="0">
      <sharedItems/>
    </cacheField>
    <cacheField name="Source_Channel" numFmtId="0">
      <sharedItems/>
    </cacheField>
    <cacheField name="Region" numFmtId="0">
      <sharedItems count="7">
        <s v="South Asia"/>
        <s v="Middle East"/>
        <s v="Southeast Asia"/>
        <s v="Africa"/>
        <s v="Europe"/>
        <s v="North America"/>
        <s v="Latin America"/>
      </sharedItems>
    </cacheField>
    <cacheField name="Fake_Probability(%)" numFmtId="2">
      <sharedItems containsSemiMixedTypes="0" containsString="0" containsNumber="1" minValue="0.2" maxValue="99.7"/>
    </cacheField>
    <cacheField name="FAKE RISK PROBABILTY" numFmtId="0">
      <sharedItems count="4">
        <s v="Low Risk"/>
        <s v="Moderate Risk"/>
        <s v="High Risk"/>
        <b v="0"/>
      </sharedItems>
    </cacheField>
    <cacheField name="Confidence_Score(%)" numFmtId="0">
      <sharedItems containsSemiMixedTypes="0" containsString="0" containsNumber="1" minValue="50.1" maxValue="99"/>
    </cacheField>
    <cacheField name="CONFIDENCE LEVEL" numFmtId="0">
      <sharedItems count="2">
        <s v="Moderate Confidence"/>
        <s v="High Confidence"/>
      </sharedItems>
    </cacheField>
    <cacheField name="AI_Generated" numFmtId="0">
      <sharedItems count="3">
        <s v="No"/>
        <s v="Yes"/>
        <s v="Maybe"/>
      </sharedItems>
    </cacheField>
    <cacheField name="AI CONTENT FLAG" numFmtId="0">
      <sharedItems/>
    </cacheField>
    <cacheField name="Deepfake_Score" numFmtId="0">
      <sharedItems containsSemiMixedTypes="0" containsString="0" containsNumber="1" minValue="0" maxValue="1"/>
    </cacheField>
    <cacheField name="Metadata_Anomaly" numFmtId="0">
      <sharedItems/>
    </cacheField>
    <cacheField name="Engagement_Count" numFmtId="0">
      <sharedItems containsSemiMixedTypes="0" containsString="0" containsNumber="1" containsInteger="1" minValue="4897" maxValue="4997720"/>
    </cacheField>
    <cacheField name="ENGAGEMENT LEVEL " numFmtId="0">
      <sharedItems/>
    </cacheField>
    <cacheField name="Viral_Reach" numFmtId="0">
      <sharedItems containsSemiMixedTypes="0" containsString="0" containsNumber="1" containsInteger="1" minValue="6194" maxValue="19949252"/>
    </cacheField>
    <cacheField name="VIRALITY CATEGORY" numFmtId="0">
      <sharedItems/>
    </cacheField>
    <cacheField name="Flagged_By" numFmtId="0">
      <sharedItems/>
    </cacheField>
    <cacheField name="Verified_Label" numFmtId="0">
      <sharedItems count="3">
        <s v="REAL"/>
        <s v="UNCERTAIN"/>
        <s v="FAKE"/>
      </sharedItems>
    </cacheField>
    <cacheField name="Days (Date)" numFmtId="0" databaseField="0">
      <fieldGroup base="1">
        <rangePr groupBy="days" startDate="2024-01-02T00:00:00" endDate="2024-12-3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1">
        <rangePr groupBy="months" startDate="2024-01-02T00:00:00" endDate="2024-12-31T00:00:00"/>
        <groupItems count="14">
          <s v="&lt;02-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789783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RD-0001"/>
    <x v="0"/>
    <x v="0"/>
    <x v="0"/>
    <s v="GIF"/>
    <s v="Independent_Creator"/>
    <x v="0"/>
    <n v="14"/>
    <x v="0"/>
    <n v="55"/>
    <x v="0"/>
    <x v="0"/>
    <s v="Human Content"/>
    <n v="0.74099999999999999"/>
    <s v="Partial"/>
    <n v="729395"/>
    <s v="Low"/>
    <n v="19814140"/>
    <s v="Highly Viral"/>
    <s v="Automated_System"/>
    <x v="0"/>
  </r>
  <r>
    <s v="RD-0002"/>
    <x v="1"/>
    <x v="1"/>
    <x v="0"/>
    <s v="PNG"/>
    <s v="Independent_Creator"/>
    <x v="1"/>
    <n v="60.2"/>
    <x v="1"/>
    <n v="77.5"/>
    <x v="1"/>
    <x v="1"/>
    <s v="AI Generated"/>
    <n v="0.71599999999999997"/>
    <s v="Partial"/>
    <n v="4571400"/>
    <s v="High"/>
    <n v="14077249"/>
    <s v="Highly Viral"/>
    <s v="Human_Reviewer"/>
    <x v="1"/>
  </r>
  <r>
    <s v="RD-0003"/>
    <x v="2"/>
    <x v="2"/>
    <x v="0"/>
    <s v="MP3"/>
    <s v="Celebrity"/>
    <x v="2"/>
    <n v="34"/>
    <x v="1"/>
    <n v="57.6"/>
    <x v="0"/>
    <x v="0"/>
    <s v="Human Content"/>
    <n v="0.95699999999999996"/>
    <s v="No"/>
    <n v="857501"/>
    <s v="Low"/>
    <n v="3112534"/>
    <s v="Moderately Viral"/>
    <s v="Automated_System"/>
    <x v="0"/>
  </r>
  <r>
    <s v="RD-0004"/>
    <x v="3"/>
    <x v="3"/>
    <x v="1"/>
    <s v="GIF"/>
    <s v="News_Outlet"/>
    <x v="3"/>
    <n v="45.9"/>
    <x v="1"/>
    <n v="56.1"/>
    <x v="0"/>
    <x v="2"/>
    <s v="Human Content"/>
    <n v="0.92200000000000004"/>
    <s v="Yes"/>
    <n v="4630952"/>
    <s v="High"/>
    <n v="9837930"/>
    <s v="Highly Viral"/>
    <s v="Partner_API"/>
    <x v="1"/>
  </r>
  <r>
    <s v="RD-0005"/>
    <x v="4"/>
    <x v="4"/>
    <x v="0"/>
    <s v="JPEG"/>
    <s v="Celebrity"/>
    <x v="0"/>
    <n v="77.3"/>
    <x v="2"/>
    <n v="98.3"/>
    <x v="1"/>
    <x v="1"/>
    <s v="AI Generated"/>
    <n v="0.85499999999999998"/>
    <s v="Yes"/>
    <n v="3188829"/>
    <s v="Medium"/>
    <n v="9327746"/>
    <s v="Highly Viral"/>
    <s v="Automated_System"/>
    <x v="2"/>
  </r>
  <r>
    <s v="RD-0006"/>
    <x v="5"/>
    <x v="3"/>
    <x v="2"/>
    <s v="WAV"/>
    <s v="Bot_Network"/>
    <x v="0"/>
    <n v="67"/>
    <x v="1"/>
    <n v="84.4"/>
    <x v="1"/>
    <x v="1"/>
    <s v="AI Generated"/>
    <n v="0.68400000000000005"/>
    <s v="Yes"/>
    <n v="1435715"/>
    <s v="Medium"/>
    <n v="17923260"/>
    <s v="Highly Viral"/>
    <s v="Human_Reviewer"/>
    <x v="2"/>
  </r>
  <r>
    <s v="RD-0007"/>
    <x v="6"/>
    <x v="5"/>
    <x v="3"/>
    <s v="GIF"/>
    <s v="Celebrity"/>
    <x v="3"/>
    <n v="55.7"/>
    <x v="1"/>
    <n v="83.5"/>
    <x v="1"/>
    <x v="2"/>
    <s v="Human Content"/>
    <n v="0.84299999999999997"/>
    <s v="Yes"/>
    <n v="1921494"/>
    <s v="Medium"/>
    <n v="1077605"/>
    <s v="Moderately Viral"/>
    <s v="Community_Report"/>
    <x v="1"/>
  </r>
  <r>
    <s v="RD-0008"/>
    <x v="7"/>
    <x v="2"/>
    <x v="0"/>
    <s v="PNG"/>
    <s v="Verified_Org"/>
    <x v="3"/>
    <n v="31.5"/>
    <x v="1"/>
    <n v="82.1"/>
    <x v="1"/>
    <x v="0"/>
    <s v="Human Content"/>
    <n v="0.39600000000000002"/>
    <s v="Partial"/>
    <n v="3849228"/>
    <s v="Medium"/>
    <n v="4794475"/>
    <s v="Moderately Viral"/>
    <s v="Community_Report"/>
    <x v="0"/>
  </r>
  <r>
    <s v="RD-0009"/>
    <x v="8"/>
    <x v="4"/>
    <x v="4"/>
    <s v="GIF"/>
    <s v="Celebrity"/>
    <x v="1"/>
    <n v="42.8"/>
    <x v="1"/>
    <n v="78.599999999999994"/>
    <x v="1"/>
    <x v="2"/>
    <s v="Human Content"/>
    <n v="0.36199999999999999"/>
    <s v="Yes"/>
    <n v="4274316"/>
    <s v="High"/>
    <n v="16560143"/>
    <s v="Highly Viral"/>
    <s v="AI_Model"/>
    <x v="1"/>
  </r>
  <r>
    <s v="RD-0010"/>
    <x v="9"/>
    <x v="0"/>
    <x v="2"/>
    <s v="MP3"/>
    <s v="Celebrity"/>
    <x v="2"/>
    <n v="59.6"/>
    <x v="1"/>
    <n v="68.900000000000006"/>
    <x v="0"/>
    <x v="2"/>
    <s v="Human Content"/>
    <n v="0.59599999999999997"/>
    <s v="No"/>
    <n v="4438632"/>
    <s v="High"/>
    <n v="8436557"/>
    <s v="Highly Viral"/>
    <s v="Partner_API"/>
    <x v="1"/>
  </r>
  <r>
    <s v="RD-0011"/>
    <x v="10"/>
    <x v="0"/>
    <x v="4"/>
    <s v="GIF"/>
    <s v="Celebrity"/>
    <x v="4"/>
    <n v="11.2"/>
    <x v="0"/>
    <n v="71.3"/>
    <x v="1"/>
    <x v="0"/>
    <s v="Human Content"/>
    <n v="0.45400000000000001"/>
    <s v="Partial"/>
    <n v="2209567"/>
    <s v="Medium"/>
    <n v="16797382"/>
    <s v="Highly Viral"/>
    <s v="Human_Reviewer"/>
    <x v="0"/>
  </r>
  <r>
    <s v="RD-0012"/>
    <x v="11"/>
    <x v="0"/>
    <x v="1"/>
    <s v="PNG"/>
    <s v="Independent_Creator"/>
    <x v="4"/>
    <n v="76.3"/>
    <x v="2"/>
    <n v="76.400000000000006"/>
    <x v="1"/>
    <x v="1"/>
    <s v="AI Generated"/>
    <n v="0.77900000000000003"/>
    <s v="Partial"/>
    <n v="4897"/>
    <s v="Low"/>
    <n v="10877372"/>
    <s v="Highly Viral"/>
    <s v="Automated_System"/>
    <x v="2"/>
  </r>
  <r>
    <s v="RD-0013"/>
    <x v="12"/>
    <x v="0"/>
    <x v="1"/>
    <s v="GIF"/>
    <s v="Independent_Creator"/>
    <x v="5"/>
    <n v="24.1"/>
    <x v="0"/>
    <n v="77.8"/>
    <x v="1"/>
    <x v="0"/>
    <s v="Human Content"/>
    <n v="7.9000000000000001E-2"/>
    <s v="Partial"/>
    <n v="4076883"/>
    <s v="High"/>
    <n v="2322886"/>
    <s v="Moderately Viral"/>
    <s v="Partner_API"/>
    <x v="0"/>
  </r>
  <r>
    <s v="RD-0014"/>
    <x v="13"/>
    <x v="6"/>
    <x v="3"/>
    <s v="MP3"/>
    <s v="Bot_Network"/>
    <x v="1"/>
    <n v="87.2"/>
    <x v="2"/>
    <n v="70.7"/>
    <x v="1"/>
    <x v="1"/>
    <s v="AI Generated"/>
    <n v="0.21199999999999999"/>
    <s v="Partial"/>
    <n v="1687477"/>
    <s v="Medium"/>
    <n v="10459963"/>
    <s v="Highly Viral"/>
    <s v="Automated_System"/>
    <x v="2"/>
  </r>
  <r>
    <s v="RD-0015"/>
    <x v="14"/>
    <x v="3"/>
    <x v="3"/>
    <s v="WEBM"/>
    <s v="News_Outlet"/>
    <x v="0"/>
    <n v="22.5"/>
    <x v="0"/>
    <n v="66.599999999999994"/>
    <x v="0"/>
    <x v="0"/>
    <s v="Human Content"/>
    <n v="0.58799999999999997"/>
    <s v="Yes"/>
    <n v="4936293"/>
    <s v="High"/>
    <n v="7389769"/>
    <s v="Highly Viral"/>
    <s v="AI_Model"/>
    <x v="0"/>
  </r>
  <r>
    <s v="RD-0016"/>
    <x v="15"/>
    <x v="1"/>
    <x v="2"/>
    <s v="MP4"/>
    <s v="News_Outlet"/>
    <x v="6"/>
    <n v="33"/>
    <x v="1"/>
    <n v="75.2"/>
    <x v="1"/>
    <x v="0"/>
    <s v="Human Content"/>
    <n v="0.27800000000000002"/>
    <s v="No"/>
    <n v="1797248"/>
    <s v="Medium"/>
    <n v="18094188"/>
    <s v="Highly Viral"/>
    <s v="Human_Reviewer"/>
    <x v="0"/>
  </r>
  <r>
    <s v="RD-0017"/>
    <x v="16"/>
    <x v="5"/>
    <x v="2"/>
    <s v="WEBM"/>
    <s v="Anonymous"/>
    <x v="0"/>
    <n v="9.4"/>
    <x v="0"/>
    <n v="82.3"/>
    <x v="1"/>
    <x v="0"/>
    <s v="Human Content"/>
    <n v="0.35399999999999998"/>
    <s v="No"/>
    <n v="3917786"/>
    <s v="Medium"/>
    <n v="1818183"/>
    <s v="Moderately Viral"/>
    <s v="AI_Model"/>
    <x v="0"/>
  </r>
  <r>
    <s v="RD-0018"/>
    <x v="17"/>
    <x v="7"/>
    <x v="1"/>
    <s v="MP4"/>
    <s v="Independent_Creator"/>
    <x v="0"/>
    <n v="19"/>
    <x v="0"/>
    <n v="72"/>
    <x v="1"/>
    <x v="0"/>
    <s v="Human Content"/>
    <n v="0.42199999999999999"/>
    <s v="No"/>
    <n v="3880905"/>
    <s v="Medium"/>
    <n v="8382613"/>
    <s v="Highly Viral"/>
    <s v="AI_Model"/>
    <x v="0"/>
  </r>
  <r>
    <s v="RD-0019"/>
    <x v="18"/>
    <x v="0"/>
    <x v="0"/>
    <s v="JPEG"/>
    <s v="News_Outlet"/>
    <x v="6"/>
    <n v="84.9"/>
    <x v="2"/>
    <n v="58.1"/>
    <x v="0"/>
    <x v="1"/>
    <s v="AI Generated"/>
    <n v="0.48599999999999999"/>
    <s v="Yes"/>
    <n v="3364269"/>
    <s v="Medium"/>
    <n v="1967977"/>
    <s v="Moderately Viral"/>
    <s v="Human_Reviewer"/>
    <x v="2"/>
  </r>
  <r>
    <s v="RD-0020"/>
    <x v="19"/>
    <x v="1"/>
    <x v="3"/>
    <s v="GIF"/>
    <s v="Anonymous"/>
    <x v="4"/>
    <n v="42.3"/>
    <x v="1"/>
    <n v="96.9"/>
    <x v="1"/>
    <x v="2"/>
    <s v="Human Content"/>
    <n v="0.995"/>
    <s v="Partial"/>
    <n v="4082595"/>
    <s v="High"/>
    <n v="5194619"/>
    <s v="Highly Viral"/>
    <s v="Human_Reviewer"/>
    <x v="1"/>
  </r>
  <r>
    <s v="RD-0021"/>
    <x v="20"/>
    <x v="4"/>
    <x v="0"/>
    <s v="JPEG"/>
    <s v="Celebrity"/>
    <x v="4"/>
    <n v="5.7"/>
    <x v="0"/>
    <n v="78.599999999999994"/>
    <x v="1"/>
    <x v="0"/>
    <s v="Human Content"/>
    <n v="0.503"/>
    <s v="Partial"/>
    <n v="1320741"/>
    <s v="Medium"/>
    <n v="1909061"/>
    <s v="Moderately Viral"/>
    <s v="Partner_API"/>
    <x v="0"/>
  </r>
  <r>
    <s v="RD-0022"/>
    <x v="21"/>
    <x v="6"/>
    <x v="0"/>
    <s v="MP4"/>
    <s v="Celebrity"/>
    <x v="6"/>
    <n v="23.5"/>
    <x v="0"/>
    <n v="55.9"/>
    <x v="0"/>
    <x v="0"/>
    <s v="Human Content"/>
    <n v="0.89"/>
    <s v="Yes"/>
    <n v="4856425"/>
    <s v="High"/>
    <n v="19949252"/>
    <s v="Highly Viral"/>
    <s v="AI_Model"/>
    <x v="0"/>
  </r>
  <r>
    <s v="RD-0023"/>
    <x v="22"/>
    <x v="0"/>
    <x v="3"/>
    <s v="WAV"/>
    <s v="Bot_Network"/>
    <x v="0"/>
    <n v="67"/>
    <x v="1"/>
    <n v="65.400000000000006"/>
    <x v="0"/>
    <x v="1"/>
    <s v="AI Generated"/>
    <n v="0.26600000000000001"/>
    <s v="Yes"/>
    <n v="2516657"/>
    <s v="Medium"/>
    <n v="15342410"/>
    <s v="Highly Viral"/>
    <s v="Community_Report"/>
    <x v="2"/>
  </r>
  <r>
    <s v="RD-0024"/>
    <x v="23"/>
    <x v="1"/>
    <x v="3"/>
    <s v="MP4"/>
    <s v="News_Outlet"/>
    <x v="1"/>
    <n v="21.3"/>
    <x v="0"/>
    <n v="63"/>
    <x v="0"/>
    <x v="0"/>
    <s v="Human Content"/>
    <n v="0.93300000000000005"/>
    <s v="Yes"/>
    <n v="2049306"/>
    <s v="Medium"/>
    <n v="12399771"/>
    <s v="Highly Viral"/>
    <s v="Community_Report"/>
    <x v="0"/>
  </r>
  <r>
    <s v="RD-0025"/>
    <x v="24"/>
    <x v="5"/>
    <x v="4"/>
    <s v="GIF"/>
    <s v="Verified_Org"/>
    <x v="6"/>
    <n v="65.400000000000006"/>
    <x v="1"/>
    <n v="50.4"/>
    <x v="0"/>
    <x v="1"/>
    <s v="AI Generated"/>
    <n v="0.81699999999999995"/>
    <s v="No"/>
    <n v="869046"/>
    <s v="Low"/>
    <n v="4506562"/>
    <s v="Moderately Viral"/>
    <s v="Community_Report"/>
    <x v="2"/>
  </r>
  <r>
    <s v="RD-0026"/>
    <x v="25"/>
    <x v="0"/>
    <x v="4"/>
    <s v="MP3"/>
    <s v="Bot_Network"/>
    <x v="4"/>
    <n v="60.5"/>
    <x v="1"/>
    <n v="85.2"/>
    <x v="1"/>
    <x v="1"/>
    <s v="AI Generated"/>
    <n v="0.20399999999999999"/>
    <s v="Partial"/>
    <n v="2214557"/>
    <s v="Medium"/>
    <n v="16959213"/>
    <s v="Highly Viral"/>
    <s v="Automated_System"/>
    <x v="1"/>
  </r>
  <r>
    <s v="RD-0027"/>
    <x v="26"/>
    <x v="1"/>
    <x v="0"/>
    <s v="PDF"/>
    <s v="Bot_Network"/>
    <x v="5"/>
    <n v="0.4"/>
    <x v="0"/>
    <n v="87.8"/>
    <x v="1"/>
    <x v="0"/>
    <s v="Human Content"/>
    <n v="0.63700000000000001"/>
    <s v="No"/>
    <n v="1355547"/>
    <s v="Medium"/>
    <n v="14826039"/>
    <s v="Highly Viral"/>
    <s v="Partner_API"/>
    <x v="0"/>
  </r>
  <r>
    <s v="RD-0028"/>
    <x v="27"/>
    <x v="7"/>
    <x v="4"/>
    <s v="JPEG"/>
    <s v="News_Outlet"/>
    <x v="5"/>
    <n v="94.5"/>
    <x v="2"/>
    <n v="83.9"/>
    <x v="1"/>
    <x v="1"/>
    <s v="AI Generated"/>
    <n v="0.14899999999999999"/>
    <s v="Yes"/>
    <n v="3097308"/>
    <s v="Medium"/>
    <n v="19546277"/>
    <s v="Highly Viral"/>
    <s v="Partner_API"/>
    <x v="2"/>
  </r>
  <r>
    <s v="RD-0029"/>
    <x v="28"/>
    <x v="7"/>
    <x v="2"/>
    <s v="JPEG"/>
    <s v="Bot_Network"/>
    <x v="4"/>
    <n v="89.9"/>
    <x v="2"/>
    <n v="89"/>
    <x v="1"/>
    <x v="1"/>
    <s v="AI Generated"/>
    <n v="0.86099999999999999"/>
    <s v="No"/>
    <n v="1762349"/>
    <s v="Medium"/>
    <n v="8373328"/>
    <s v="Highly Viral"/>
    <s v="AI_Model"/>
    <x v="2"/>
  </r>
  <r>
    <s v="RD-0030"/>
    <x v="29"/>
    <x v="7"/>
    <x v="4"/>
    <s v="MP3"/>
    <s v="Independent_Creator"/>
    <x v="6"/>
    <n v="16.3"/>
    <x v="0"/>
    <n v="89.2"/>
    <x v="1"/>
    <x v="0"/>
    <s v="Human Content"/>
    <n v="0.17699999999999999"/>
    <s v="No"/>
    <n v="208023"/>
    <s v="Low"/>
    <n v="6018845"/>
    <s v="Highly Viral"/>
    <s v="Community_Report"/>
    <x v="0"/>
  </r>
  <r>
    <s v="RD-0031"/>
    <x v="30"/>
    <x v="4"/>
    <x v="1"/>
    <s v="MP3"/>
    <s v="Celebrity"/>
    <x v="5"/>
    <n v="38.299999999999997"/>
    <x v="1"/>
    <n v="51.9"/>
    <x v="0"/>
    <x v="2"/>
    <s v="Human Content"/>
    <n v="0.47099999999999997"/>
    <s v="Yes"/>
    <n v="3861403"/>
    <s v="Medium"/>
    <n v="11733089"/>
    <s v="Highly Viral"/>
    <s v="Community_Report"/>
    <x v="1"/>
  </r>
  <r>
    <s v="RD-0032"/>
    <x v="31"/>
    <x v="4"/>
    <x v="0"/>
    <s v="PNG"/>
    <s v="Anonymous"/>
    <x v="4"/>
    <n v="27.9"/>
    <x v="0"/>
    <n v="53.4"/>
    <x v="0"/>
    <x v="0"/>
    <s v="Human Content"/>
    <n v="0.77300000000000002"/>
    <s v="No"/>
    <n v="4273304"/>
    <s v="High"/>
    <n v="13411481"/>
    <s v="Highly Viral"/>
    <s v="Partner_API"/>
    <x v="0"/>
  </r>
  <r>
    <s v="RD-0033"/>
    <x v="32"/>
    <x v="1"/>
    <x v="0"/>
    <s v="GIF"/>
    <s v="Independent_Creator"/>
    <x v="1"/>
    <n v="96.3"/>
    <x v="2"/>
    <n v="63"/>
    <x v="0"/>
    <x v="1"/>
    <s v="AI Generated"/>
    <n v="0.108"/>
    <s v="No"/>
    <n v="2899933"/>
    <s v="Medium"/>
    <n v="10525764"/>
    <s v="Highly Viral"/>
    <s v="Automated_System"/>
    <x v="2"/>
  </r>
  <r>
    <s v="RD-0034"/>
    <x v="33"/>
    <x v="0"/>
    <x v="3"/>
    <s v="PNG"/>
    <s v="Bot_Network"/>
    <x v="5"/>
    <n v="70.900000000000006"/>
    <x v="2"/>
    <n v="50.1"/>
    <x v="0"/>
    <x v="1"/>
    <s v="AI Generated"/>
    <n v="0.92600000000000005"/>
    <s v="Partial"/>
    <n v="1652950"/>
    <s v="Medium"/>
    <n v="12221744"/>
    <s v="Highly Viral"/>
    <s v="Automated_System"/>
    <x v="2"/>
  </r>
  <r>
    <s v="RD-0035"/>
    <x v="34"/>
    <x v="3"/>
    <x v="4"/>
    <s v="WAV"/>
    <s v="Celebrity"/>
    <x v="6"/>
    <n v="12.5"/>
    <x v="0"/>
    <n v="94.1"/>
    <x v="1"/>
    <x v="0"/>
    <s v="Human Content"/>
    <n v="0.50700000000000001"/>
    <s v="Partial"/>
    <n v="3425948"/>
    <s v="Medium"/>
    <n v="10945382"/>
    <s v="Highly Viral"/>
    <s v="Automated_System"/>
    <x v="0"/>
  </r>
  <r>
    <s v="RD-0036"/>
    <x v="35"/>
    <x v="2"/>
    <x v="4"/>
    <s v="MP3"/>
    <s v="Independent_Creator"/>
    <x v="2"/>
    <n v="66.5"/>
    <x v="1"/>
    <n v="68.599999999999994"/>
    <x v="0"/>
    <x v="1"/>
    <s v="AI Generated"/>
    <n v="0.748"/>
    <s v="Yes"/>
    <n v="4774100"/>
    <s v="High"/>
    <n v="10098702"/>
    <s v="Highly Viral"/>
    <s v="Automated_System"/>
    <x v="2"/>
  </r>
  <r>
    <s v="RD-0037"/>
    <x v="36"/>
    <x v="1"/>
    <x v="1"/>
    <s v="GIF"/>
    <s v="Independent_Creator"/>
    <x v="2"/>
    <n v="78.599999999999994"/>
    <x v="2"/>
    <n v="79.7"/>
    <x v="1"/>
    <x v="1"/>
    <s v="AI Generated"/>
    <n v="0.32200000000000001"/>
    <s v="No"/>
    <n v="3709205"/>
    <s v="Medium"/>
    <n v="7171129"/>
    <s v="Highly Viral"/>
    <s v="Partner_API"/>
    <x v="2"/>
  </r>
  <r>
    <s v="RD-0038"/>
    <x v="37"/>
    <x v="6"/>
    <x v="0"/>
    <s v="GIF"/>
    <s v="Verified_Org"/>
    <x v="3"/>
    <n v="63.3"/>
    <x v="1"/>
    <n v="66.400000000000006"/>
    <x v="0"/>
    <x v="1"/>
    <s v="AI Generated"/>
    <n v="0.81799999999999995"/>
    <s v="Yes"/>
    <n v="2604087"/>
    <s v="Medium"/>
    <n v="7538189"/>
    <s v="Highly Viral"/>
    <s v="Human_Reviewer"/>
    <x v="1"/>
  </r>
  <r>
    <s v="RD-0039"/>
    <x v="28"/>
    <x v="1"/>
    <x v="0"/>
    <s v="PNG"/>
    <s v="Anonymous"/>
    <x v="1"/>
    <n v="85"/>
    <x v="2"/>
    <n v="53.6"/>
    <x v="0"/>
    <x v="1"/>
    <s v="AI Generated"/>
    <n v="0.41399999999999998"/>
    <s v="Partial"/>
    <n v="4829177"/>
    <s v="High"/>
    <n v="6524663"/>
    <s v="Highly Viral"/>
    <s v="Automated_System"/>
    <x v="2"/>
  </r>
  <r>
    <s v="RD-0040"/>
    <x v="38"/>
    <x v="7"/>
    <x v="2"/>
    <s v="MP3"/>
    <s v="Celebrity"/>
    <x v="3"/>
    <n v="0.6"/>
    <x v="0"/>
    <n v="86.8"/>
    <x v="1"/>
    <x v="0"/>
    <s v="Human Content"/>
    <n v="0.77"/>
    <s v="Yes"/>
    <n v="3566484"/>
    <s v="Medium"/>
    <n v="7343590"/>
    <s v="Highly Viral"/>
    <s v="Human_Reviewer"/>
    <x v="0"/>
  </r>
  <r>
    <s v="RD-0041"/>
    <x v="35"/>
    <x v="5"/>
    <x v="0"/>
    <s v="PNG"/>
    <s v="News_Outlet"/>
    <x v="2"/>
    <n v="13.3"/>
    <x v="0"/>
    <n v="72.8"/>
    <x v="1"/>
    <x v="0"/>
    <s v="Human Content"/>
    <n v="0.53100000000000003"/>
    <s v="Partial"/>
    <n v="4995116"/>
    <s v="High"/>
    <n v="10647252"/>
    <s v="Highly Viral"/>
    <s v="Automated_System"/>
    <x v="0"/>
  </r>
  <r>
    <s v="RD-0042"/>
    <x v="39"/>
    <x v="7"/>
    <x v="4"/>
    <s v="WEBM"/>
    <s v="Independent_Creator"/>
    <x v="3"/>
    <n v="86.1"/>
    <x v="2"/>
    <n v="72.099999999999994"/>
    <x v="1"/>
    <x v="1"/>
    <s v="AI Generated"/>
    <n v="0.752"/>
    <s v="Partial"/>
    <n v="2326356"/>
    <s v="Medium"/>
    <n v="17492419"/>
    <s v="Highly Viral"/>
    <s v="Automated_System"/>
    <x v="2"/>
  </r>
  <r>
    <s v="RD-0043"/>
    <x v="40"/>
    <x v="4"/>
    <x v="1"/>
    <s v="WEBM"/>
    <s v="News_Outlet"/>
    <x v="3"/>
    <n v="28.6"/>
    <x v="0"/>
    <n v="63.3"/>
    <x v="0"/>
    <x v="0"/>
    <s v="Human Content"/>
    <n v="0.32"/>
    <s v="Partial"/>
    <n v="676034"/>
    <s v="Low"/>
    <n v="4643563"/>
    <s v="Moderately Viral"/>
    <s v="Human_Reviewer"/>
    <x v="0"/>
  </r>
  <r>
    <s v="RD-0044"/>
    <x v="41"/>
    <x v="7"/>
    <x v="2"/>
    <s v="PNG"/>
    <s v="News_Outlet"/>
    <x v="2"/>
    <n v="40.799999999999997"/>
    <x v="1"/>
    <n v="76.599999999999994"/>
    <x v="1"/>
    <x v="2"/>
    <s v="Human Content"/>
    <n v="0.41599999999999998"/>
    <s v="Yes"/>
    <n v="3524519"/>
    <s v="Medium"/>
    <n v="13069173"/>
    <s v="Highly Viral"/>
    <s v="Partner_API"/>
    <x v="1"/>
  </r>
  <r>
    <s v="RD-0045"/>
    <x v="35"/>
    <x v="1"/>
    <x v="4"/>
    <s v="PDF"/>
    <s v="Anonymous"/>
    <x v="5"/>
    <n v="94.3"/>
    <x v="2"/>
    <n v="64.599999999999994"/>
    <x v="0"/>
    <x v="1"/>
    <s v="AI Generated"/>
    <n v="0.39"/>
    <s v="No"/>
    <n v="4515021"/>
    <s v="High"/>
    <n v="18325659"/>
    <s v="Highly Viral"/>
    <s v="Partner_API"/>
    <x v="2"/>
  </r>
  <r>
    <s v="RD-0046"/>
    <x v="42"/>
    <x v="5"/>
    <x v="2"/>
    <s v="GIF"/>
    <s v="Anonymous"/>
    <x v="2"/>
    <n v="2.9"/>
    <x v="0"/>
    <n v="66.5"/>
    <x v="0"/>
    <x v="0"/>
    <s v="Human Content"/>
    <n v="0.67900000000000005"/>
    <s v="No"/>
    <n v="1384595"/>
    <s v="Medium"/>
    <n v="15683510"/>
    <s v="Highly Viral"/>
    <s v="Human_Reviewer"/>
    <x v="0"/>
  </r>
  <r>
    <s v="RD-0047"/>
    <x v="43"/>
    <x v="1"/>
    <x v="3"/>
    <s v="JPEG"/>
    <s v="News_Outlet"/>
    <x v="3"/>
    <n v="42.9"/>
    <x v="1"/>
    <n v="92.5"/>
    <x v="1"/>
    <x v="2"/>
    <s v="Human Content"/>
    <n v="0.182"/>
    <s v="No"/>
    <n v="3180253"/>
    <s v="Medium"/>
    <n v="10984632"/>
    <s v="Highly Viral"/>
    <s v="Human_Reviewer"/>
    <x v="1"/>
  </r>
  <r>
    <s v="RD-0048"/>
    <x v="44"/>
    <x v="3"/>
    <x v="1"/>
    <s v="PDF"/>
    <s v="Bot_Network"/>
    <x v="6"/>
    <n v="95.1"/>
    <x v="2"/>
    <n v="70.7"/>
    <x v="1"/>
    <x v="1"/>
    <s v="AI Generated"/>
    <n v="0.83499999999999996"/>
    <s v="No"/>
    <n v="162698"/>
    <s v="Low"/>
    <n v="18100399"/>
    <s v="Highly Viral"/>
    <s v="AI_Model"/>
    <x v="2"/>
  </r>
  <r>
    <s v="RD-0049"/>
    <x v="45"/>
    <x v="4"/>
    <x v="0"/>
    <s v="JPEG"/>
    <s v="News_Outlet"/>
    <x v="0"/>
    <n v="19.899999999999999"/>
    <x v="0"/>
    <n v="51"/>
    <x v="0"/>
    <x v="0"/>
    <s v="Human Content"/>
    <n v="0.152"/>
    <s v="Yes"/>
    <n v="3972618"/>
    <s v="Medium"/>
    <n v="3838772"/>
    <s v="Moderately Viral"/>
    <s v="Partner_API"/>
    <x v="0"/>
  </r>
  <r>
    <s v="RD-0050"/>
    <x v="46"/>
    <x v="5"/>
    <x v="1"/>
    <s v="WAV"/>
    <s v="Independent_Creator"/>
    <x v="1"/>
    <n v="60.7"/>
    <x v="1"/>
    <n v="86.6"/>
    <x v="1"/>
    <x v="1"/>
    <s v="AI Generated"/>
    <n v="0.115"/>
    <s v="Yes"/>
    <n v="2609283"/>
    <s v="Medium"/>
    <n v="3627692"/>
    <s v="Moderately Viral"/>
    <s v="Partner_API"/>
    <x v="1"/>
  </r>
  <r>
    <s v="RD-0051"/>
    <x v="47"/>
    <x v="2"/>
    <x v="4"/>
    <s v="PDF"/>
    <s v="Anonymous"/>
    <x v="3"/>
    <n v="19.8"/>
    <x v="0"/>
    <n v="79"/>
    <x v="1"/>
    <x v="0"/>
    <s v="Human Content"/>
    <n v="0.83099999999999996"/>
    <s v="Yes"/>
    <n v="854910"/>
    <s v="Low"/>
    <n v="10119935"/>
    <s v="Highly Viral"/>
    <s v="Partner_API"/>
    <x v="0"/>
  </r>
  <r>
    <s v="RD-0052"/>
    <x v="48"/>
    <x v="1"/>
    <x v="1"/>
    <s v="PDF"/>
    <s v="Celebrity"/>
    <x v="4"/>
    <n v="6.9"/>
    <x v="0"/>
    <n v="81.7"/>
    <x v="1"/>
    <x v="0"/>
    <s v="Human Content"/>
    <n v="1.2999999999999999E-2"/>
    <s v="No"/>
    <n v="4112209"/>
    <s v="High"/>
    <n v="3541796"/>
    <s v="Moderately Viral"/>
    <s v="Automated_System"/>
    <x v="0"/>
  </r>
  <r>
    <s v="RD-0053"/>
    <x v="4"/>
    <x v="5"/>
    <x v="2"/>
    <s v="PDF"/>
    <s v="Independent_Creator"/>
    <x v="3"/>
    <n v="52.2"/>
    <x v="1"/>
    <n v="81.900000000000006"/>
    <x v="1"/>
    <x v="2"/>
    <s v="Human Content"/>
    <n v="0.61599999999999999"/>
    <s v="Partial"/>
    <n v="4055971"/>
    <s v="High"/>
    <n v="15599075"/>
    <s v="Highly Viral"/>
    <s v="Automated_System"/>
    <x v="1"/>
  </r>
  <r>
    <s v="RD-0054"/>
    <x v="49"/>
    <x v="2"/>
    <x v="1"/>
    <s v="PNG"/>
    <s v="News_Outlet"/>
    <x v="4"/>
    <n v="88.2"/>
    <x v="2"/>
    <n v="61.9"/>
    <x v="0"/>
    <x v="1"/>
    <s v="AI Generated"/>
    <n v="0.46500000000000002"/>
    <s v="Partial"/>
    <n v="3179292"/>
    <s v="Medium"/>
    <n v="11288097"/>
    <s v="Highly Viral"/>
    <s v="AI_Model"/>
    <x v="2"/>
  </r>
  <r>
    <s v="RD-0055"/>
    <x v="38"/>
    <x v="3"/>
    <x v="2"/>
    <s v="WEBM"/>
    <s v="Independent_Creator"/>
    <x v="4"/>
    <n v="79.8"/>
    <x v="2"/>
    <n v="66.7"/>
    <x v="0"/>
    <x v="1"/>
    <s v="AI Generated"/>
    <n v="0.88"/>
    <s v="Partial"/>
    <n v="2317608"/>
    <s v="Medium"/>
    <n v="18649752"/>
    <s v="Highly Viral"/>
    <s v="AI_Model"/>
    <x v="2"/>
  </r>
  <r>
    <s v="RD-0056"/>
    <x v="50"/>
    <x v="4"/>
    <x v="0"/>
    <s v="PNG"/>
    <s v="Celebrity"/>
    <x v="2"/>
    <n v="48.9"/>
    <x v="1"/>
    <n v="87.2"/>
    <x v="1"/>
    <x v="2"/>
    <s v="Human Content"/>
    <n v="0.69099999999999995"/>
    <s v="Partial"/>
    <n v="4117407"/>
    <s v="High"/>
    <n v="15038742"/>
    <s v="Highly Viral"/>
    <s v="AI_Model"/>
    <x v="1"/>
  </r>
  <r>
    <s v="RD-0057"/>
    <x v="51"/>
    <x v="2"/>
    <x v="2"/>
    <s v="PDF"/>
    <s v="Celebrity"/>
    <x v="0"/>
    <n v="30.6"/>
    <x v="1"/>
    <n v="78.5"/>
    <x v="1"/>
    <x v="0"/>
    <s v="Human Content"/>
    <n v="0.47299999999999998"/>
    <s v="Partial"/>
    <n v="2883746"/>
    <s v="Medium"/>
    <n v="14278038"/>
    <s v="Highly Viral"/>
    <s v="Partner_API"/>
    <x v="0"/>
  </r>
  <r>
    <s v="RD-0058"/>
    <x v="32"/>
    <x v="3"/>
    <x v="3"/>
    <s v="GIF"/>
    <s v="Bot_Network"/>
    <x v="4"/>
    <n v="23.1"/>
    <x v="0"/>
    <n v="85.3"/>
    <x v="1"/>
    <x v="0"/>
    <s v="Human Content"/>
    <n v="0.316"/>
    <s v="Partial"/>
    <n v="4495252"/>
    <s v="High"/>
    <n v="6213097"/>
    <s v="Highly Viral"/>
    <s v="Human_Reviewer"/>
    <x v="0"/>
  </r>
  <r>
    <s v="RD-0059"/>
    <x v="52"/>
    <x v="5"/>
    <x v="1"/>
    <s v="GIF"/>
    <s v="News_Outlet"/>
    <x v="6"/>
    <n v="19.399999999999999"/>
    <x v="0"/>
    <n v="61.1"/>
    <x v="0"/>
    <x v="0"/>
    <s v="Human Content"/>
    <n v="0.17899999999999999"/>
    <s v="Yes"/>
    <n v="4480749"/>
    <s v="High"/>
    <n v="4247919"/>
    <s v="Moderately Viral"/>
    <s v="Community_Report"/>
    <x v="0"/>
  </r>
  <r>
    <s v="RD-0060"/>
    <x v="53"/>
    <x v="1"/>
    <x v="4"/>
    <s v="GIF"/>
    <s v="Celebrity"/>
    <x v="0"/>
    <n v="63.8"/>
    <x v="1"/>
    <n v="86.9"/>
    <x v="1"/>
    <x v="1"/>
    <s v="AI Generated"/>
    <n v="0.10299999999999999"/>
    <s v="Yes"/>
    <n v="4815699"/>
    <s v="High"/>
    <n v="9541344"/>
    <s v="Highly Viral"/>
    <s v="Automated_System"/>
    <x v="1"/>
  </r>
  <r>
    <s v="RD-0061"/>
    <x v="54"/>
    <x v="5"/>
    <x v="1"/>
    <s v="MP3"/>
    <s v="News_Outlet"/>
    <x v="4"/>
    <n v="94.1"/>
    <x v="2"/>
    <n v="73.400000000000006"/>
    <x v="1"/>
    <x v="1"/>
    <s v="AI Generated"/>
    <n v="0.82199999999999995"/>
    <s v="No"/>
    <n v="4125169"/>
    <s v="High"/>
    <n v="2486285"/>
    <s v="Moderately Viral"/>
    <s v="Partner_API"/>
    <x v="2"/>
  </r>
  <r>
    <s v="RD-0062"/>
    <x v="55"/>
    <x v="1"/>
    <x v="2"/>
    <s v="MP3"/>
    <s v="Verified_Org"/>
    <x v="4"/>
    <n v="8.5"/>
    <x v="0"/>
    <n v="62.2"/>
    <x v="0"/>
    <x v="0"/>
    <s v="Human Content"/>
    <n v="0.55800000000000005"/>
    <s v="No"/>
    <n v="1893300"/>
    <s v="Medium"/>
    <n v="17535124"/>
    <s v="Highly Viral"/>
    <s v="Automated_System"/>
    <x v="0"/>
  </r>
  <r>
    <s v="RD-0063"/>
    <x v="56"/>
    <x v="5"/>
    <x v="1"/>
    <s v="PDF"/>
    <s v="Bot_Network"/>
    <x v="1"/>
    <n v="62.1"/>
    <x v="1"/>
    <n v="79.900000000000006"/>
    <x v="1"/>
    <x v="1"/>
    <s v="AI Generated"/>
    <n v="0.74"/>
    <s v="Yes"/>
    <n v="1770307"/>
    <s v="Medium"/>
    <n v="8880550"/>
    <s v="Highly Viral"/>
    <s v="AI_Model"/>
    <x v="1"/>
  </r>
  <r>
    <s v="RD-0064"/>
    <x v="24"/>
    <x v="4"/>
    <x v="2"/>
    <s v="MP4"/>
    <s v="Independent_Creator"/>
    <x v="5"/>
    <n v="40.9"/>
    <x v="1"/>
    <n v="83.8"/>
    <x v="1"/>
    <x v="2"/>
    <s v="Human Content"/>
    <n v="0.47"/>
    <s v="Yes"/>
    <n v="1941863"/>
    <s v="Medium"/>
    <n v="9667695"/>
    <s v="Highly Viral"/>
    <s v="Community_Report"/>
    <x v="1"/>
  </r>
  <r>
    <s v="RD-0065"/>
    <x v="57"/>
    <x v="5"/>
    <x v="0"/>
    <s v="PNG"/>
    <s v="Bot_Network"/>
    <x v="6"/>
    <n v="79.099999999999994"/>
    <x v="2"/>
    <n v="78.900000000000006"/>
    <x v="1"/>
    <x v="1"/>
    <s v="AI Generated"/>
    <n v="0.80400000000000005"/>
    <s v="Yes"/>
    <n v="3566424"/>
    <s v="Medium"/>
    <n v="3851753"/>
    <s v="Moderately Viral"/>
    <s v="Partner_API"/>
    <x v="2"/>
  </r>
  <r>
    <s v="RD-0066"/>
    <x v="58"/>
    <x v="6"/>
    <x v="1"/>
    <s v="MP3"/>
    <s v="News_Outlet"/>
    <x v="5"/>
    <n v="16.600000000000001"/>
    <x v="0"/>
    <n v="65.099999999999994"/>
    <x v="0"/>
    <x v="0"/>
    <s v="Human Content"/>
    <n v="0.749"/>
    <s v="Partial"/>
    <n v="2421141"/>
    <s v="Medium"/>
    <n v="14736044"/>
    <s v="Highly Viral"/>
    <s v="AI_Model"/>
    <x v="0"/>
  </r>
  <r>
    <s v="RD-0067"/>
    <x v="59"/>
    <x v="2"/>
    <x v="3"/>
    <s v="GIF"/>
    <s v="Verified_Org"/>
    <x v="1"/>
    <n v="49.4"/>
    <x v="1"/>
    <n v="53.9"/>
    <x v="0"/>
    <x v="2"/>
    <s v="Human Content"/>
    <n v="0.04"/>
    <s v="No"/>
    <n v="2703929"/>
    <s v="Medium"/>
    <n v="8401452"/>
    <s v="Highly Viral"/>
    <s v="AI_Model"/>
    <x v="1"/>
  </r>
  <r>
    <s v="RD-0068"/>
    <x v="60"/>
    <x v="4"/>
    <x v="4"/>
    <s v="JPEG"/>
    <s v="Celebrity"/>
    <x v="6"/>
    <n v="27"/>
    <x v="0"/>
    <n v="52"/>
    <x v="0"/>
    <x v="0"/>
    <s v="Human Content"/>
    <n v="0.75600000000000001"/>
    <s v="No"/>
    <n v="4353484"/>
    <s v="High"/>
    <n v="14839256"/>
    <s v="Highly Viral"/>
    <s v="Community_Report"/>
    <x v="0"/>
  </r>
  <r>
    <s v="RD-0069"/>
    <x v="61"/>
    <x v="7"/>
    <x v="3"/>
    <s v="MP4"/>
    <s v="Anonymous"/>
    <x v="4"/>
    <n v="40.799999999999997"/>
    <x v="1"/>
    <n v="65.7"/>
    <x v="0"/>
    <x v="2"/>
    <s v="Human Content"/>
    <n v="0.105"/>
    <s v="Yes"/>
    <n v="2766693"/>
    <s v="Medium"/>
    <n v="13813017"/>
    <s v="Highly Viral"/>
    <s v="Automated_System"/>
    <x v="1"/>
  </r>
  <r>
    <s v="RD-0070"/>
    <x v="62"/>
    <x v="7"/>
    <x v="4"/>
    <s v="JPEG"/>
    <s v="Anonymous"/>
    <x v="5"/>
    <n v="31.5"/>
    <x v="1"/>
    <n v="65.8"/>
    <x v="0"/>
    <x v="0"/>
    <s v="Human Content"/>
    <n v="0.97"/>
    <s v="No"/>
    <n v="4316846"/>
    <s v="High"/>
    <n v="39123"/>
    <s v="Low Viral"/>
    <s v="Partner_API"/>
    <x v="0"/>
  </r>
  <r>
    <s v="RD-0071"/>
    <x v="63"/>
    <x v="7"/>
    <x v="0"/>
    <s v="PNG"/>
    <s v="Verified_Org"/>
    <x v="4"/>
    <n v="62.3"/>
    <x v="1"/>
    <n v="74.400000000000006"/>
    <x v="1"/>
    <x v="1"/>
    <s v="AI Generated"/>
    <n v="0.442"/>
    <s v="Yes"/>
    <n v="1707670"/>
    <s v="Medium"/>
    <n v="8961420"/>
    <s v="Highly Viral"/>
    <s v="Partner_API"/>
    <x v="1"/>
  </r>
  <r>
    <s v="RD-0072"/>
    <x v="64"/>
    <x v="2"/>
    <x v="3"/>
    <s v="WEBM"/>
    <s v="News_Outlet"/>
    <x v="5"/>
    <n v="97.3"/>
    <x v="2"/>
    <n v="79.8"/>
    <x v="1"/>
    <x v="1"/>
    <s v="AI Generated"/>
    <n v="0.23899999999999999"/>
    <s v="Yes"/>
    <n v="2606861"/>
    <s v="Medium"/>
    <n v="18483590"/>
    <s v="Highly Viral"/>
    <s v="AI_Model"/>
    <x v="2"/>
  </r>
  <r>
    <s v="RD-0073"/>
    <x v="65"/>
    <x v="7"/>
    <x v="0"/>
    <s v="PNG"/>
    <s v="News_Outlet"/>
    <x v="2"/>
    <n v="94.7"/>
    <x v="2"/>
    <n v="81.7"/>
    <x v="1"/>
    <x v="1"/>
    <s v="AI Generated"/>
    <n v="0.154"/>
    <s v="Partial"/>
    <n v="2448412"/>
    <s v="Medium"/>
    <n v="17075411"/>
    <s v="Highly Viral"/>
    <s v="Community_Report"/>
    <x v="2"/>
  </r>
  <r>
    <s v="RD-0074"/>
    <x v="66"/>
    <x v="5"/>
    <x v="3"/>
    <s v="PNG"/>
    <s v="Anonymous"/>
    <x v="1"/>
    <n v="14.5"/>
    <x v="0"/>
    <n v="59.3"/>
    <x v="0"/>
    <x v="0"/>
    <s v="Human Content"/>
    <n v="0.59899999999999998"/>
    <s v="Partial"/>
    <n v="1145214"/>
    <s v="Medium"/>
    <n v="2342937"/>
    <s v="Moderately Viral"/>
    <s v="Community_Report"/>
    <x v="0"/>
  </r>
  <r>
    <s v="RD-0075"/>
    <x v="66"/>
    <x v="3"/>
    <x v="4"/>
    <s v="GIF"/>
    <s v="News_Outlet"/>
    <x v="4"/>
    <n v="72.599999999999994"/>
    <x v="2"/>
    <n v="91"/>
    <x v="1"/>
    <x v="1"/>
    <s v="AI Generated"/>
    <n v="0.57999999999999996"/>
    <s v="Partial"/>
    <n v="4107500"/>
    <s v="High"/>
    <n v="4986534"/>
    <s v="Moderately Viral"/>
    <s v="Automated_System"/>
    <x v="2"/>
  </r>
  <r>
    <s v="RD-0076"/>
    <x v="67"/>
    <x v="5"/>
    <x v="1"/>
    <s v="WAV"/>
    <s v="Verified_Org"/>
    <x v="6"/>
    <n v="54.3"/>
    <x v="1"/>
    <n v="72.3"/>
    <x v="1"/>
    <x v="2"/>
    <s v="Human Content"/>
    <n v="0.32200000000000001"/>
    <s v="Yes"/>
    <n v="2003346"/>
    <s v="Medium"/>
    <n v="19186845"/>
    <s v="Highly Viral"/>
    <s v="Automated_System"/>
    <x v="1"/>
  </r>
  <r>
    <s v="RD-0077"/>
    <x v="68"/>
    <x v="7"/>
    <x v="0"/>
    <s v="WAV"/>
    <s v="Celebrity"/>
    <x v="2"/>
    <n v="70.5"/>
    <x v="2"/>
    <n v="89.8"/>
    <x v="1"/>
    <x v="1"/>
    <s v="AI Generated"/>
    <n v="0.38600000000000001"/>
    <s v="Partial"/>
    <n v="1276051"/>
    <s v="Medium"/>
    <n v="16620971"/>
    <s v="Highly Viral"/>
    <s v="AI_Model"/>
    <x v="2"/>
  </r>
  <r>
    <s v="RD-0078"/>
    <x v="13"/>
    <x v="3"/>
    <x v="0"/>
    <s v="WEBM"/>
    <s v="News_Outlet"/>
    <x v="1"/>
    <n v="91"/>
    <x v="2"/>
    <n v="50.8"/>
    <x v="0"/>
    <x v="1"/>
    <s v="AI Generated"/>
    <n v="0.14399999999999999"/>
    <s v="Partial"/>
    <n v="1294975"/>
    <s v="Medium"/>
    <n v="2511319"/>
    <s v="Moderately Viral"/>
    <s v="Automated_System"/>
    <x v="2"/>
  </r>
  <r>
    <s v="RD-0079"/>
    <x v="69"/>
    <x v="3"/>
    <x v="4"/>
    <s v="PDF"/>
    <s v="Celebrity"/>
    <x v="5"/>
    <n v="85.2"/>
    <x v="2"/>
    <n v="91.8"/>
    <x v="1"/>
    <x v="1"/>
    <s v="AI Generated"/>
    <n v="0.85899999999999999"/>
    <s v="No"/>
    <n v="2656446"/>
    <s v="Medium"/>
    <n v="16373300"/>
    <s v="Highly Viral"/>
    <s v="Partner_API"/>
    <x v="2"/>
  </r>
  <r>
    <s v="RD-0080"/>
    <x v="70"/>
    <x v="0"/>
    <x v="2"/>
    <s v="GIF"/>
    <s v="Independent_Creator"/>
    <x v="3"/>
    <n v="9"/>
    <x v="0"/>
    <n v="97.9"/>
    <x v="1"/>
    <x v="0"/>
    <s v="Human Content"/>
    <n v="0.76"/>
    <s v="Partial"/>
    <n v="843215"/>
    <s v="Low"/>
    <n v="14887881"/>
    <s v="Highly Viral"/>
    <s v="Human_Reviewer"/>
    <x v="0"/>
  </r>
  <r>
    <s v="RD-0081"/>
    <x v="71"/>
    <x v="2"/>
    <x v="0"/>
    <s v="JPEG"/>
    <s v="Bot_Network"/>
    <x v="6"/>
    <n v="5.6"/>
    <x v="0"/>
    <n v="67.599999999999994"/>
    <x v="0"/>
    <x v="0"/>
    <s v="Human Content"/>
    <n v="0.43099999999999999"/>
    <s v="Yes"/>
    <n v="4455846"/>
    <s v="High"/>
    <n v="13826662"/>
    <s v="Highly Viral"/>
    <s v="Partner_API"/>
    <x v="0"/>
  </r>
  <r>
    <s v="RD-0082"/>
    <x v="72"/>
    <x v="6"/>
    <x v="2"/>
    <s v="MP3"/>
    <s v="News_Outlet"/>
    <x v="1"/>
    <n v="87.1"/>
    <x v="2"/>
    <n v="80.400000000000006"/>
    <x v="1"/>
    <x v="1"/>
    <s v="AI Generated"/>
    <n v="0.24099999999999999"/>
    <s v="Partial"/>
    <n v="1200658"/>
    <s v="Medium"/>
    <n v="7791451"/>
    <s v="Highly Viral"/>
    <s v="Automated_System"/>
    <x v="2"/>
  </r>
  <r>
    <s v="RD-0083"/>
    <x v="73"/>
    <x v="2"/>
    <x v="3"/>
    <s v="GIF"/>
    <s v="Celebrity"/>
    <x v="5"/>
    <n v="89.9"/>
    <x v="2"/>
    <n v="72.8"/>
    <x v="1"/>
    <x v="1"/>
    <s v="AI Generated"/>
    <n v="0.28799999999999998"/>
    <s v="Partial"/>
    <n v="1325295"/>
    <s v="Medium"/>
    <n v="2478894"/>
    <s v="Moderately Viral"/>
    <s v="Automated_System"/>
    <x v="2"/>
  </r>
  <r>
    <s v="RD-0084"/>
    <x v="74"/>
    <x v="2"/>
    <x v="3"/>
    <s v="GIF"/>
    <s v="Anonymous"/>
    <x v="6"/>
    <n v="30.2"/>
    <x v="1"/>
    <n v="99"/>
    <x v="1"/>
    <x v="0"/>
    <s v="Human Content"/>
    <n v="0.85299999999999998"/>
    <s v="Yes"/>
    <n v="1989925"/>
    <s v="Medium"/>
    <n v="12796962"/>
    <s v="Highly Viral"/>
    <s v="Partner_API"/>
    <x v="0"/>
  </r>
  <r>
    <s v="RD-0085"/>
    <x v="75"/>
    <x v="2"/>
    <x v="1"/>
    <s v="JPEG"/>
    <s v="Celebrity"/>
    <x v="2"/>
    <n v="27.4"/>
    <x v="0"/>
    <n v="77.7"/>
    <x v="1"/>
    <x v="0"/>
    <s v="Human Content"/>
    <n v="0.68600000000000005"/>
    <s v="Partial"/>
    <n v="411512"/>
    <s v="Low"/>
    <n v="16667901"/>
    <s v="Highly Viral"/>
    <s v="Community_Report"/>
    <x v="0"/>
  </r>
  <r>
    <s v="RD-0086"/>
    <x v="76"/>
    <x v="3"/>
    <x v="2"/>
    <s v="PNG"/>
    <s v="Verified_Org"/>
    <x v="4"/>
    <n v="67.8"/>
    <x v="1"/>
    <n v="85.3"/>
    <x v="1"/>
    <x v="1"/>
    <s v="AI Generated"/>
    <n v="0.65900000000000003"/>
    <s v="Yes"/>
    <n v="815170"/>
    <s v="Low"/>
    <n v="1323302"/>
    <s v="Moderately Viral"/>
    <s v="Community_Report"/>
    <x v="2"/>
  </r>
  <r>
    <s v="RD-0087"/>
    <x v="77"/>
    <x v="1"/>
    <x v="4"/>
    <s v="WAV"/>
    <s v="Celebrity"/>
    <x v="0"/>
    <n v="9"/>
    <x v="0"/>
    <n v="64.5"/>
    <x v="0"/>
    <x v="0"/>
    <s v="Human Content"/>
    <n v="0.747"/>
    <s v="Yes"/>
    <n v="1684488"/>
    <s v="Medium"/>
    <n v="4435046"/>
    <s v="Moderately Viral"/>
    <s v="Partner_API"/>
    <x v="0"/>
  </r>
  <r>
    <s v="RD-0088"/>
    <x v="78"/>
    <x v="2"/>
    <x v="2"/>
    <s v="GIF"/>
    <s v="Anonymous"/>
    <x v="6"/>
    <n v="29.5"/>
    <x v="0"/>
    <n v="92.6"/>
    <x v="1"/>
    <x v="0"/>
    <s v="Human Content"/>
    <n v="0.80400000000000005"/>
    <s v="No"/>
    <n v="631756"/>
    <s v="Low"/>
    <n v="4723521"/>
    <s v="Moderately Viral"/>
    <s v="Human_Reviewer"/>
    <x v="0"/>
  </r>
  <r>
    <s v="RD-0089"/>
    <x v="79"/>
    <x v="7"/>
    <x v="4"/>
    <s v="WAV"/>
    <s v="News_Outlet"/>
    <x v="6"/>
    <n v="39.5"/>
    <x v="1"/>
    <n v="63"/>
    <x v="0"/>
    <x v="2"/>
    <s v="Human Content"/>
    <n v="0.124"/>
    <s v="No"/>
    <n v="2199269"/>
    <s v="Medium"/>
    <n v="19615081"/>
    <s v="Highly Viral"/>
    <s v="Automated_System"/>
    <x v="1"/>
  </r>
  <r>
    <s v="RD-0090"/>
    <x v="73"/>
    <x v="3"/>
    <x v="0"/>
    <s v="PNG"/>
    <s v="Anonymous"/>
    <x v="5"/>
    <n v="62"/>
    <x v="1"/>
    <n v="96.2"/>
    <x v="1"/>
    <x v="1"/>
    <s v="AI Generated"/>
    <n v="0.32800000000000001"/>
    <s v="Partial"/>
    <n v="1857062"/>
    <s v="Medium"/>
    <n v="2121711"/>
    <s v="Moderately Viral"/>
    <s v="Automated_System"/>
    <x v="1"/>
  </r>
  <r>
    <s v="RD-0091"/>
    <x v="80"/>
    <x v="2"/>
    <x v="3"/>
    <s v="MP4"/>
    <s v="Independent_Creator"/>
    <x v="5"/>
    <n v="94.6"/>
    <x v="2"/>
    <n v="64.900000000000006"/>
    <x v="0"/>
    <x v="1"/>
    <s v="AI Generated"/>
    <n v="0.49299999999999999"/>
    <s v="Yes"/>
    <n v="1969745"/>
    <s v="Medium"/>
    <n v="18037571"/>
    <s v="Highly Viral"/>
    <s v="Human_Reviewer"/>
    <x v="2"/>
  </r>
  <r>
    <s v="RD-0092"/>
    <x v="81"/>
    <x v="5"/>
    <x v="1"/>
    <s v="PDF"/>
    <s v="Verified_Org"/>
    <x v="3"/>
    <n v="72.7"/>
    <x v="2"/>
    <n v="93.4"/>
    <x v="1"/>
    <x v="1"/>
    <s v="AI Generated"/>
    <n v="0.65500000000000003"/>
    <s v="No"/>
    <n v="3423624"/>
    <s v="Medium"/>
    <n v="9387021"/>
    <s v="Highly Viral"/>
    <s v="AI_Model"/>
    <x v="2"/>
  </r>
  <r>
    <s v="RD-0093"/>
    <x v="82"/>
    <x v="3"/>
    <x v="2"/>
    <s v="WEBM"/>
    <s v="Anonymous"/>
    <x v="0"/>
    <n v="85.5"/>
    <x v="2"/>
    <n v="54.9"/>
    <x v="0"/>
    <x v="1"/>
    <s v="AI Generated"/>
    <n v="0.68600000000000005"/>
    <s v="Partial"/>
    <n v="3008874"/>
    <s v="Medium"/>
    <n v="2032223"/>
    <s v="Moderately Viral"/>
    <s v="Automated_System"/>
    <x v="2"/>
  </r>
  <r>
    <s v="RD-0094"/>
    <x v="83"/>
    <x v="4"/>
    <x v="0"/>
    <s v="WEBM"/>
    <s v="News_Outlet"/>
    <x v="3"/>
    <n v="21.2"/>
    <x v="0"/>
    <n v="81.3"/>
    <x v="1"/>
    <x v="0"/>
    <s v="Human Content"/>
    <n v="0.97099999999999997"/>
    <s v="Yes"/>
    <n v="2797777"/>
    <s v="Medium"/>
    <n v="8173315"/>
    <s v="Highly Viral"/>
    <s v="Human_Reviewer"/>
    <x v="0"/>
  </r>
  <r>
    <s v="RD-0095"/>
    <x v="84"/>
    <x v="4"/>
    <x v="0"/>
    <s v="PNG"/>
    <s v="Verified_Org"/>
    <x v="0"/>
    <n v="81.3"/>
    <x v="2"/>
    <n v="61.4"/>
    <x v="0"/>
    <x v="1"/>
    <s v="AI Generated"/>
    <n v="0.77400000000000002"/>
    <s v="Partial"/>
    <n v="23886"/>
    <s v="Low"/>
    <n v="9304299"/>
    <s v="Highly Viral"/>
    <s v="Human_Reviewer"/>
    <x v="2"/>
  </r>
  <r>
    <s v="RD-0096"/>
    <x v="85"/>
    <x v="2"/>
    <x v="2"/>
    <s v="MP4"/>
    <s v="Celebrity"/>
    <x v="6"/>
    <n v="2.6"/>
    <x v="0"/>
    <n v="50.7"/>
    <x v="0"/>
    <x v="0"/>
    <s v="Human Content"/>
    <n v="0.79"/>
    <s v="Yes"/>
    <n v="4939756"/>
    <s v="High"/>
    <n v="10864467"/>
    <s v="Highly Viral"/>
    <s v="AI_Model"/>
    <x v="0"/>
  </r>
  <r>
    <s v="RD-0097"/>
    <x v="86"/>
    <x v="2"/>
    <x v="0"/>
    <s v="MP3"/>
    <s v="Celebrity"/>
    <x v="2"/>
    <n v="52.6"/>
    <x v="1"/>
    <n v="86.5"/>
    <x v="1"/>
    <x v="2"/>
    <s v="Human Content"/>
    <n v="0.47599999999999998"/>
    <s v="No"/>
    <n v="4305452"/>
    <s v="High"/>
    <n v="19920626"/>
    <s v="Highly Viral"/>
    <s v="AI_Model"/>
    <x v="1"/>
  </r>
  <r>
    <s v="RD-0098"/>
    <x v="87"/>
    <x v="4"/>
    <x v="4"/>
    <s v="JPEG"/>
    <s v="Celebrity"/>
    <x v="6"/>
    <n v="90.9"/>
    <x v="2"/>
    <n v="82.3"/>
    <x v="1"/>
    <x v="1"/>
    <s v="AI Generated"/>
    <n v="0.30199999999999999"/>
    <s v="Partial"/>
    <n v="261410"/>
    <s v="Low"/>
    <n v="2041461"/>
    <s v="Moderately Viral"/>
    <s v="Automated_System"/>
    <x v="2"/>
  </r>
  <r>
    <s v="RD-0099"/>
    <x v="7"/>
    <x v="7"/>
    <x v="0"/>
    <s v="WEBM"/>
    <s v="Celebrity"/>
    <x v="2"/>
    <n v="7.3"/>
    <x v="0"/>
    <n v="54"/>
    <x v="0"/>
    <x v="0"/>
    <s v="Human Content"/>
    <n v="0.60799999999999998"/>
    <s v="Yes"/>
    <n v="1058671"/>
    <s v="Medium"/>
    <n v="9228505"/>
    <s v="Highly Viral"/>
    <s v="Partner_API"/>
    <x v="0"/>
  </r>
  <r>
    <s v="RD-0100"/>
    <x v="88"/>
    <x v="3"/>
    <x v="3"/>
    <s v="GIF"/>
    <s v="Anonymous"/>
    <x v="1"/>
    <n v="60.5"/>
    <x v="1"/>
    <n v="54.9"/>
    <x v="0"/>
    <x v="1"/>
    <s v="AI Generated"/>
    <n v="0.70199999999999996"/>
    <s v="Partial"/>
    <n v="4625035"/>
    <s v="High"/>
    <n v="7215476"/>
    <s v="Highly Viral"/>
    <s v="Automated_System"/>
    <x v="1"/>
  </r>
  <r>
    <s v="RD-0101"/>
    <x v="87"/>
    <x v="4"/>
    <x v="3"/>
    <s v="WAV"/>
    <s v="Anonymous"/>
    <x v="2"/>
    <n v="41.6"/>
    <x v="1"/>
    <n v="54.7"/>
    <x v="0"/>
    <x v="2"/>
    <s v="Human Content"/>
    <n v="0.42699999999999999"/>
    <s v="Partial"/>
    <n v="2138270"/>
    <s v="Medium"/>
    <n v="12559958"/>
    <s v="Highly Viral"/>
    <s v="Human_Reviewer"/>
    <x v="1"/>
  </r>
  <r>
    <s v="RD-0102"/>
    <x v="89"/>
    <x v="5"/>
    <x v="0"/>
    <s v="MP4"/>
    <s v="News_Outlet"/>
    <x v="5"/>
    <n v="43.2"/>
    <x v="1"/>
    <n v="86.5"/>
    <x v="1"/>
    <x v="2"/>
    <s v="Human Content"/>
    <n v="0.373"/>
    <s v="Yes"/>
    <n v="4667276"/>
    <s v="High"/>
    <n v="2013127"/>
    <s v="Moderately Viral"/>
    <s v="Partner_API"/>
    <x v="1"/>
  </r>
  <r>
    <s v="RD-0103"/>
    <x v="90"/>
    <x v="3"/>
    <x v="0"/>
    <s v="PDF"/>
    <s v="Bot_Network"/>
    <x v="6"/>
    <n v="66.5"/>
    <x v="1"/>
    <n v="86.8"/>
    <x v="1"/>
    <x v="1"/>
    <s v="AI Generated"/>
    <n v="0.86799999999999999"/>
    <s v="Partial"/>
    <n v="431660"/>
    <s v="Low"/>
    <n v="9651741"/>
    <s v="Highly Viral"/>
    <s v="Partner_API"/>
    <x v="2"/>
  </r>
  <r>
    <s v="RD-0104"/>
    <x v="91"/>
    <x v="3"/>
    <x v="0"/>
    <s v="PNG"/>
    <s v="Independent_Creator"/>
    <x v="3"/>
    <n v="48.2"/>
    <x v="1"/>
    <n v="91.5"/>
    <x v="1"/>
    <x v="2"/>
    <s v="Human Content"/>
    <n v="0.35"/>
    <s v="Partial"/>
    <n v="3083425"/>
    <s v="Medium"/>
    <n v="3855411"/>
    <s v="Moderately Viral"/>
    <s v="Community_Report"/>
    <x v="1"/>
  </r>
  <r>
    <s v="RD-0105"/>
    <x v="92"/>
    <x v="4"/>
    <x v="3"/>
    <s v="JPEG"/>
    <s v="Verified_Org"/>
    <x v="3"/>
    <n v="82.9"/>
    <x v="2"/>
    <n v="63.1"/>
    <x v="0"/>
    <x v="1"/>
    <s v="AI Generated"/>
    <n v="0.18"/>
    <s v="Partial"/>
    <n v="2592051"/>
    <s v="Medium"/>
    <n v="11403123"/>
    <s v="Highly Viral"/>
    <s v="Community_Report"/>
    <x v="2"/>
  </r>
  <r>
    <s v="RD-0106"/>
    <x v="93"/>
    <x v="6"/>
    <x v="2"/>
    <s v="PDF"/>
    <s v="News_Outlet"/>
    <x v="0"/>
    <n v="74.099999999999994"/>
    <x v="2"/>
    <n v="97.6"/>
    <x v="1"/>
    <x v="1"/>
    <s v="AI Generated"/>
    <n v="9.1999999999999998E-2"/>
    <s v="Partial"/>
    <n v="1804765"/>
    <s v="Medium"/>
    <n v="12623489"/>
    <s v="Highly Viral"/>
    <s v="Automated_System"/>
    <x v="2"/>
  </r>
  <r>
    <s v="RD-0107"/>
    <x v="44"/>
    <x v="3"/>
    <x v="2"/>
    <s v="WAV"/>
    <s v="Bot_Network"/>
    <x v="3"/>
    <n v="32.4"/>
    <x v="1"/>
    <n v="96.1"/>
    <x v="1"/>
    <x v="0"/>
    <s v="Human Content"/>
    <n v="0.59599999999999997"/>
    <s v="Yes"/>
    <n v="1305198"/>
    <s v="Medium"/>
    <n v="5282299"/>
    <s v="Highly Viral"/>
    <s v="Partner_API"/>
    <x v="0"/>
  </r>
  <r>
    <s v="RD-0108"/>
    <x v="94"/>
    <x v="0"/>
    <x v="1"/>
    <s v="WEBM"/>
    <s v="Celebrity"/>
    <x v="2"/>
    <n v="48.6"/>
    <x v="1"/>
    <n v="71.7"/>
    <x v="1"/>
    <x v="2"/>
    <s v="Human Content"/>
    <n v="0.27300000000000002"/>
    <s v="Partial"/>
    <n v="954870"/>
    <s v="Low"/>
    <n v="11582579"/>
    <s v="Highly Viral"/>
    <s v="Automated_System"/>
    <x v="1"/>
  </r>
  <r>
    <s v="RD-0109"/>
    <x v="95"/>
    <x v="2"/>
    <x v="4"/>
    <s v="WEBM"/>
    <s v="Verified_Org"/>
    <x v="3"/>
    <n v="30.8"/>
    <x v="1"/>
    <n v="60.8"/>
    <x v="0"/>
    <x v="0"/>
    <s v="Human Content"/>
    <n v="0.98399999999999999"/>
    <s v="Yes"/>
    <n v="64583"/>
    <s v="Low"/>
    <n v="6859801"/>
    <s v="Highly Viral"/>
    <s v="Community_Report"/>
    <x v="0"/>
  </r>
  <r>
    <s v="RD-0110"/>
    <x v="96"/>
    <x v="6"/>
    <x v="1"/>
    <s v="GIF"/>
    <s v="Bot_Network"/>
    <x v="5"/>
    <n v="0.8"/>
    <x v="0"/>
    <n v="86.6"/>
    <x v="1"/>
    <x v="0"/>
    <s v="Human Content"/>
    <n v="0.17599999999999999"/>
    <s v="No"/>
    <n v="4467724"/>
    <s v="High"/>
    <n v="7721734"/>
    <s v="Highly Viral"/>
    <s v="Partner_API"/>
    <x v="0"/>
  </r>
  <r>
    <s v="RD-0111"/>
    <x v="97"/>
    <x v="3"/>
    <x v="0"/>
    <s v="PDF"/>
    <s v="Celebrity"/>
    <x v="5"/>
    <n v="43.6"/>
    <x v="1"/>
    <n v="72.5"/>
    <x v="1"/>
    <x v="2"/>
    <s v="Human Content"/>
    <n v="7.8E-2"/>
    <s v="No"/>
    <n v="4829917"/>
    <s v="High"/>
    <n v="14404890"/>
    <s v="Highly Viral"/>
    <s v="Partner_API"/>
    <x v="1"/>
  </r>
  <r>
    <s v="RD-0112"/>
    <x v="98"/>
    <x v="7"/>
    <x v="1"/>
    <s v="MP4"/>
    <s v="Anonymous"/>
    <x v="5"/>
    <n v="96.6"/>
    <x v="2"/>
    <n v="58.4"/>
    <x v="0"/>
    <x v="1"/>
    <s v="AI Generated"/>
    <n v="0.94799999999999995"/>
    <s v="No"/>
    <n v="3035540"/>
    <s v="Medium"/>
    <n v="2957648"/>
    <s v="Moderately Viral"/>
    <s v="Automated_System"/>
    <x v="2"/>
  </r>
  <r>
    <s v="RD-0113"/>
    <x v="99"/>
    <x v="4"/>
    <x v="3"/>
    <s v="PDF"/>
    <s v="Verified_Org"/>
    <x v="5"/>
    <n v="39.6"/>
    <x v="1"/>
    <n v="65.2"/>
    <x v="0"/>
    <x v="2"/>
    <s v="Human Content"/>
    <n v="0.34"/>
    <s v="No"/>
    <n v="1410499"/>
    <s v="Medium"/>
    <n v="2563366"/>
    <s v="Moderately Viral"/>
    <s v="Partner_API"/>
    <x v="1"/>
  </r>
  <r>
    <s v="RD-0114"/>
    <x v="88"/>
    <x v="0"/>
    <x v="4"/>
    <s v="PNG"/>
    <s v="Bot_Network"/>
    <x v="4"/>
    <n v="72.7"/>
    <x v="2"/>
    <n v="90.1"/>
    <x v="1"/>
    <x v="1"/>
    <s v="AI Generated"/>
    <n v="0.81499999999999995"/>
    <s v="Yes"/>
    <n v="862486"/>
    <s v="Low"/>
    <n v="4914352"/>
    <s v="Moderately Viral"/>
    <s v="Community_Report"/>
    <x v="2"/>
  </r>
  <r>
    <s v="RD-0115"/>
    <x v="100"/>
    <x v="6"/>
    <x v="4"/>
    <s v="MP3"/>
    <s v="Celebrity"/>
    <x v="5"/>
    <n v="17.7"/>
    <x v="0"/>
    <n v="87.9"/>
    <x v="1"/>
    <x v="0"/>
    <s v="Human Content"/>
    <n v="0.49399999999999999"/>
    <s v="Partial"/>
    <n v="4861030"/>
    <s v="High"/>
    <n v="15063260"/>
    <s v="Highly Viral"/>
    <s v="Partner_API"/>
    <x v="0"/>
  </r>
  <r>
    <s v="RD-0116"/>
    <x v="101"/>
    <x v="3"/>
    <x v="1"/>
    <s v="MP3"/>
    <s v="Anonymous"/>
    <x v="5"/>
    <n v="46.9"/>
    <x v="1"/>
    <n v="80.900000000000006"/>
    <x v="1"/>
    <x v="2"/>
    <s v="Human Content"/>
    <n v="0.79600000000000004"/>
    <s v="Partial"/>
    <n v="471305"/>
    <s v="Low"/>
    <n v="11809721"/>
    <s v="Highly Viral"/>
    <s v="Partner_API"/>
    <x v="1"/>
  </r>
  <r>
    <s v="RD-0117"/>
    <x v="23"/>
    <x v="2"/>
    <x v="3"/>
    <s v="WEBM"/>
    <s v="News_Outlet"/>
    <x v="5"/>
    <n v="36.9"/>
    <x v="1"/>
    <n v="64.099999999999994"/>
    <x v="0"/>
    <x v="2"/>
    <s v="Human Content"/>
    <n v="0.64500000000000002"/>
    <s v="Yes"/>
    <n v="4983602"/>
    <s v="High"/>
    <n v="17014872"/>
    <s v="Highly Viral"/>
    <s v="Automated_System"/>
    <x v="1"/>
  </r>
  <r>
    <s v="RD-0118"/>
    <x v="63"/>
    <x v="1"/>
    <x v="3"/>
    <s v="PNG"/>
    <s v="Bot_Network"/>
    <x v="1"/>
    <n v="47.6"/>
    <x v="1"/>
    <n v="57.4"/>
    <x v="0"/>
    <x v="2"/>
    <s v="Human Content"/>
    <n v="6.2E-2"/>
    <s v="Yes"/>
    <n v="2881064"/>
    <s v="Medium"/>
    <n v="2830116"/>
    <s v="Moderately Viral"/>
    <s v="Partner_API"/>
    <x v="1"/>
  </r>
  <r>
    <s v="RD-0119"/>
    <x v="102"/>
    <x v="6"/>
    <x v="0"/>
    <s v="PNG"/>
    <s v="Celebrity"/>
    <x v="2"/>
    <n v="99.1"/>
    <x v="2"/>
    <n v="75.7"/>
    <x v="1"/>
    <x v="1"/>
    <s v="AI Generated"/>
    <n v="0.61"/>
    <s v="No"/>
    <n v="3127809"/>
    <s v="Medium"/>
    <n v="9492833"/>
    <s v="Highly Viral"/>
    <s v="Automated_System"/>
    <x v="2"/>
  </r>
  <r>
    <s v="RD-0120"/>
    <x v="103"/>
    <x v="3"/>
    <x v="4"/>
    <s v="JPEG"/>
    <s v="Celebrity"/>
    <x v="3"/>
    <n v="33.5"/>
    <x v="1"/>
    <n v="66.2"/>
    <x v="0"/>
    <x v="0"/>
    <s v="Human Content"/>
    <n v="0.55800000000000005"/>
    <s v="No"/>
    <n v="2383697"/>
    <s v="Medium"/>
    <n v="8456075"/>
    <s v="Highly Viral"/>
    <s v="Partner_API"/>
    <x v="0"/>
  </r>
  <r>
    <s v="RD-0121"/>
    <x v="104"/>
    <x v="3"/>
    <x v="0"/>
    <s v="MP3"/>
    <s v="Bot_Network"/>
    <x v="4"/>
    <n v="96.8"/>
    <x v="2"/>
    <n v="84.2"/>
    <x v="1"/>
    <x v="1"/>
    <s v="AI Generated"/>
    <n v="0.39200000000000002"/>
    <s v="Partial"/>
    <n v="710774"/>
    <s v="Low"/>
    <n v="10388344"/>
    <s v="Highly Viral"/>
    <s v="Partner_API"/>
    <x v="2"/>
  </r>
  <r>
    <s v="RD-0122"/>
    <x v="105"/>
    <x v="3"/>
    <x v="2"/>
    <s v="MP4"/>
    <s v="Celebrity"/>
    <x v="3"/>
    <n v="42.3"/>
    <x v="1"/>
    <n v="67.7"/>
    <x v="0"/>
    <x v="2"/>
    <s v="Human Content"/>
    <n v="0.36299999999999999"/>
    <s v="Yes"/>
    <n v="1796878"/>
    <s v="Medium"/>
    <n v="11467134"/>
    <s v="Highly Viral"/>
    <s v="Automated_System"/>
    <x v="1"/>
  </r>
  <r>
    <s v="RD-0123"/>
    <x v="106"/>
    <x v="4"/>
    <x v="2"/>
    <s v="MP3"/>
    <s v="News_Outlet"/>
    <x v="4"/>
    <n v="84.4"/>
    <x v="2"/>
    <n v="55"/>
    <x v="0"/>
    <x v="1"/>
    <s v="AI Generated"/>
    <n v="0.77100000000000002"/>
    <s v="Partial"/>
    <n v="4416967"/>
    <s v="High"/>
    <n v="1267095"/>
    <s v="Moderately Viral"/>
    <s v="Community_Report"/>
    <x v="2"/>
  </r>
  <r>
    <s v="RD-0124"/>
    <x v="107"/>
    <x v="6"/>
    <x v="4"/>
    <s v="PDF"/>
    <s v="Independent_Creator"/>
    <x v="0"/>
    <n v="18.100000000000001"/>
    <x v="0"/>
    <n v="83.9"/>
    <x v="1"/>
    <x v="0"/>
    <s v="Human Content"/>
    <n v="0.625"/>
    <s v="Yes"/>
    <n v="3671570"/>
    <s v="Medium"/>
    <n v="1466574"/>
    <s v="Moderately Viral"/>
    <s v="Automated_System"/>
    <x v="0"/>
  </r>
  <r>
    <s v="RD-0125"/>
    <x v="108"/>
    <x v="4"/>
    <x v="3"/>
    <s v="GIF"/>
    <s v="Celebrity"/>
    <x v="6"/>
    <n v="44.9"/>
    <x v="1"/>
    <n v="76.2"/>
    <x v="1"/>
    <x v="2"/>
    <s v="Human Content"/>
    <n v="0.309"/>
    <s v="No"/>
    <n v="1627625"/>
    <s v="Medium"/>
    <n v="12343194"/>
    <s v="Highly Viral"/>
    <s v="Partner_API"/>
    <x v="1"/>
  </r>
  <r>
    <s v="RD-0126"/>
    <x v="77"/>
    <x v="5"/>
    <x v="1"/>
    <s v="PDF"/>
    <s v="Verified_Org"/>
    <x v="1"/>
    <n v="41.9"/>
    <x v="1"/>
    <n v="57.9"/>
    <x v="0"/>
    <x v="2"/>
    <s v="Human Content"/>
    <n v="0.2"/>
    <s v="Partial"/>
    <n v="1161071"/>
    <s v="Medium"/>
    <n v="8389215"/>
    <s v="Highly Viral"/>
    <s v="AI_Model"/>
    <x v="1"/>
  </r>
  <r>
    <s v="RD-0127"/>
    <x v="109"/>
    <x v="5"/>
    <x v="1"/>
    <s v="MP4"/>
    <s v="Celebrity"/>
    <x v="6"/>
    <n v="51.6"/>
    <x v="1"/>
    <n v="56.1"/>
    <x v="0"/>
    <x v="2"/>
    <s v="Human Content"/>
    <n v="8.4000000000000005E-2"/>
    <s v="Yes"/>
    <n v="2288439"/>
    <s v="Medium"/>
    <n v="15077151"/>
    <s v="Highly Viral"/>
    <s v="Partner_API"/>
    <x v="1"/>
  </r>
  <r>
    <s v="RD-0128"/>
    <x v="28"/>
    <x v="7"/>
    <x v="0"/>
    <s v="PNG"/>
    <s v="Anonymous"/>
    <x v="4"/>
    <n v="93"/>
    <x v="2"/>
    <n v="70.3"/>
    <x v="1"/>
    <x v="1"/>
    <s v="AI Generated"/>
    <n v="0.39600000000000002"/>
    <s v="No"/>
    <n v="1977949"/>
    <s v="Medium"/>
    <n v="12958084"/>
    <s v="Highly Viral"/>
    <s v="AI_Model"/>
    <x v="2"/>
  </r>
  <r>
    <s v="RD-0129"/>
    <x v="110"/>
    <x v="4"/>
    <x v="0"/>
    <s v="WAV"/>
    <s v="News_Outlet"/>
    <x v="6"/>
    <n v="71.5"/>
    <x v="2"/>
    <n v="66.400000000000006"/>
    <x v="0"/>
    <x v="1"/>
    <s v="AI Generated"/>
    <n v="0.14599999999999999"/>
    <s v="Yes"/>
    <n v="2406618"/>
    <s v="Medium"/>
    <n v="15853456"/>
    <s v="Highly Viral"/>
    <s v="Human_Reviewer"/>
    <x v="2"/>
  </r>
  <r>
    <s v="RD-0130"/>
    <x v="27"/>
    <x v="5"/>
    <x v="3"/>
    <s v="JPEG"/>
    <s v="News_Outlet"/>
    <x v="5"/>
    <n v="25.6"/>
    <x v="0"/>
    <n v="90.9"/>
    <x v="1"/>
    <x v="0"/>
    <s v="Human Content"/>
    <n v="0.54900000000000004"/>
    <s v="Partial"/>
    <n v="4427368"/>
    <s v="High"/>
    <n v="14202573"/>
    <s v="Highly Viral"/>
    <s v="AI_Model"/>
    <x v="0"/>
  </r>
  <r>
    <s v="RD-0131"/>
    <x v="62"/>
    <x v="4"/>
    <x v="1"/>
    <s v="MP4"/>
    <s v="News_Outlet"/>
    <x v="0"/>
    <n v="42"/>
    <x v="1"/>
    <n v="88.9"/>
    <x v="1"/>
    <x v="2"/>
    <s v="Human Content"/>
    <n v="0.45700000000000002"/>
    <s v="Yes"/>
    <n v="4192971"/>
    <s v="High"/>
    <n v="17987480"/>
    <s v="Highly Viral"/>
    <s v="AI_Model"/>
    <x v="1"/>
  </r>
  <r>
    <s v="RD-0132"/>
    <x v="111"/>
    <x v="4"/>
    <x v="2"/>
    <s v="GIF"/>
    <s v="Anonymous"/>
    <x v="5"/>
    <n v="61.5"/>
    <x v="1"/>
    <n v="61.8"/>
    <x v="0"/>
    <x v="1"/>
    <s v="AI Generated"/>
    <n v="0.41699999999999998"/>
    <s v="Partial"/>
    <n v="718281"/>
    <s v="Low"/>
    <n v="17565726"/>
    <s v="Highly Viral"/>
    <s v="Community_Report"/>
    <x v="1"/>
  </r>
  <r>
    <s v="RD-0133"/>
    <x v="112"/>
    <x v="1"/>
    <x v="3"/>
    <s v="WEBM"/>
    <s v="News_Outlet"/>
    <x v="3"/>
    <n v="38.700000000000003"/>
    <x v="1"/>
    <n v="68.3"/>
    <x v="0"/>
    <x v="2"/>
    <s v="Human Content"/>
    <n v="0.747"/>
    <s v="No"/>
    <n v="566830"/>
    <s v="Low"/>
    <n v="11570151"/>
    <s v="Highly Viral"/>
    <s v="Human_Reviewer"/>
    <x v="1"/>
  </r>
  <r>
    <s v="RD-0134"/>
    <x v="113"/>
    <x v="0"/>
    <x v="4"/>
    <s v="WAV"/>
    <s v="Independent_Creator"/>
    <x v="5"/>
    <n v="35.200000000000003"/>
    <x v="1"/>
    <n v="66.599999999999994"/>
    <x v="0"/>
    <x v="2"/>
    <s v="Human Content"/>
    <n v="0.64300000000000002"/>
    <s v="Partial"/>
    <n v="3897639"/>
    <s v="Medium"/>
    <n v="16057341"/>
    <s v="Highly Viral"/>
    <s v="Human_Reviewer"/>
    <x v="1"/>
  </r>
  <r>
    <s v="RD-0135"/>
    <x v="114"/>
    <x v="0"/>
    <x v="3"/>
    <s v="JPEG"/>
    <s v="Bot_Network"/>
    <x v="0"/>
    <n v="4.4000000000000004"/>
    <x v="0"/>
    <n v="59.8"/>
    <x v="0"/>
    <x v="0"/>
    <s v="Human Content"/>
    <n v="4.2000000000000003E-2"/>
    <s v="No"/>
    <n v="4323450"/>
    <s v="High"/>
    <n v="13362681"/>
    <s v="Highly Viral"/>
    <s v="Partner_API"/>
    <x v="0"/>
  </r>
  <r>
    <s v="RD-0136"/>
    <x v="37"/>
    <x v="2"/>
    <x v="0"/>
    <s v="PNG"/>
    <s v="Bot_Network"/>
    <x v="4"/>
    <n v="86.2"/>
    <x v="2"/>
    <n v="52.3"/>
    <x v="0"/>
    <x v="1"/>
    <s v="AI Generated"/>
    <n v="0.65600000000000003"/>
    <s v="No"/>
    <n v="1044272"/>
    <s v="Medium"/>
    <n v="12349174"/>
    <s v="Highly Viral"/>
    <s v="Automated_System"/>
    <x v="2"/>
  </r>
  <r>
    <s v="RD-0137"/>
    <x v="115"/>
    <x v="5"/>
    <x v="3"/>
    <s v="WAV"/>
    <s v="Independent_Creator"/>
    <x v="2"/>
    <n v="69.2"/>
    <x v="1"/>
    <n v="68"/>
    <x v="0"/>
    <x v="1"/>
    <s v="AI Generated"/>
    <n v="0.79700000000000004"/>
    <s v="No"/>
    <n v="693095"/>
    <s v="Low"/>
    <n v="14244345"/>
    <s v="Highly Viral"/>
    <s v="AI_Model"/>
    <x v="2"/>
  </r>
  <r>
    <s v="RD-0138"/>
    <x v="116"/>
    <x v="6"/>
    <x v="4"/>
    <s v="GIF"/>
    <s v="Bot_Network"/>
    <x v="5"/>
    <n v="8"/>
    <x v="0"/>
    <n v="82.4"/>
    <x v="1"/>
    <x v="0"/>
    <s v="Human Content"/>
    <n v="0.30599999999999999"/>
    <s v="Partial"/>
    <n v="3574620"/>
    <s v="Medium"/>
    <n v="5592170"/>
    <s v="Highly Viral"/>
    <s v="Automated_System"/>
    <x v="0"/>
  </r>
  <r>
    <s v="RD-0139"/>
    <x v="45"/>
    <x v="5"/>
    <x v="0"/>
    <s v="WAV"/>
    <s v="Verified_Org"/>
    <x v="2"/>
    <n v="27.5"/>
    <x v="0"/>
    <n v="98"/>
    <x v="1"/>
    <x v="0"/>
    <s v="Human Content"/>
    <n v="0.94799999999999995"/>
    <s v="Yes"/>
    <n v="3407638"/>
    <s v="Medium"/>
    <n v="12191198"/>
    <s v="Highly Viral"/>
    <s v="Partner_API"/>
    <x v="0"/>
  </r>
  <r>
    <s v="RD-0140"/>
    <x v="117"/>
    <x v="6"/>
    <x v="0"/>
    <s v="MP3"/>
    <s v="Verified_Org"/>
    <x v="3"/>
    <n v="78.099999999999994"/>
    <x v="2"/>
    <n v="51.7"/>
    <x v="0"/>
    <x v="1"/>
    <s v="AI Generated"/>
    <n v="6.7000000000000004E-2"/>
    <s v="Partial"/>
    <n v="3073085"/>
    <s v="Medium"/>
    <n v="12152257"/>
    <s v="Highly Viral"/>
    <s v="Automated_System"/>
    <x v="2"/>
  </r>
  <r>
    <s v="RD-0141"/>
    <x v="118"/>
    <x v="1"/>
    <x v="4"/>
    <s v="MP3"/>
    <s v="Celebrity"/>
    <x v="2"/>
    <n v="94.9"/>
    <x v="2"/>
    <n v="68.2"/>
    <x v="0"/>
    <x v="1"/>
    <s v="AI Generated"/>
    <n v="0.76300000000000001"/>
    <s v="Partial"/>
    <n v="1155170"/>
    <s v="Medium"/>
    <n v="17766225"/>
    <s v="Highly Viral"/>
    <s v="Community_Report"/>
    <x v="2"/>
  </r>
  <r>
    <s v="RD-0142"/>
    <x v="119"/>
    <x v="3"/>
    <x v="1"/>
    <s v="PNG"/>
    <s v="News_Outlet"/>
    <x v="5"/>
    <n v="73.599999999999994"/>
    <x v="2"/>
    <n v="74.5"/>
    <x v="1"/>
    <x v="1"/>
    <s v="AI Generated"/>
    <n v="0.38700000000000001"/>
    <s v="Partial"/>
    <n v="987950"/>
    <s v="Low"/>
    <n v="8784267"/>
    <s v="Highly Viral"/>
    <s v="Community_Report"/>
    <x v="2"/>
  </r>
  <r>
    <s v="RD-0143"/>
    <x v="120"/>
    <x v="5"/>
    <x v="2"/>
    <s v="GIF"/>
    <s v="Celebrity"/>
    <x v="2"/>
    <n v="20"/>
    <x v="0"/>
    <n v="56.7"/>
    <x v="0"/>
    <x v="0"/>
    <s v="Human Content"/>
    <n v="7.3999999999999996E-2"/>
    <s v="Yes"/>
    <n v="3733963"/>
    <s v="Medium"/>
    <n v="2946268"/>
    <s v="Moderately Viral"/>
    <s v="Community_Report"/>
    <x v="0"/>
  </r>
  <r>
    <s v="RD-0144"/>
    <x v="121"/>
    <x v="3"/>
    <x v="0"/>
    <s v="GIF"/>
    <s v="Bot_Network"/>
    <x v="6"/>
    <n v="15.8"/>
    <x v="0"/>
    <n v="84.8"/>
    <x v="1"/>
    <x v="0"/>
    <s v="Human Content"/>
    <n v="0.7"/>
    <s v="Yes"/>
    <n v="3032516"/>
    <s v="Medium"/>
    <n v="17071510"/>
    <s v="Highly Viral"/>
    <s v="Human_Reviewer"/>
    <x v="0"/>
  </r>
  <r>
    <s v="RD-0145"/>
    <x v="122"/>
    <x v="4"/>
    <x v="2"/>
    <s v="PNG"/>
    <s v="Anonymous"/>
    <x v="5"/>
    <n v="36.1"/>
    <x v="1"/>
    <n v="78"/>
    <x v="1"/>
    <x v="2"/>
    <s v="Human Content"/>
    <n v="0.46700000000000003"/>
    <s v="Partial"/>
    <n v="1088699"/>
    <s v="Medium"/>
    <n v="2893411"/>
    <s v="Moderately Viral"/>
    <s v="AI_Model"/>
    <x v="1"/>
  </r>
  <r>
    <s v="RD-0146"/>
    <x v="123"/>
    <x v="7"/>
    <x v="3"/>
    <s v="PDF"/>
    <s v="Anonymous"/>
    <x v="6"/>
    <n v="57.5"/>
    <x v="1"/>
    <n v="56.1"/>
    <x v="0"/>
    <x v="2"/>
    <s v="Human Content"/>
    <n v="0.317"/>
    <s v="Yes"/>
    <n v="3774759"/>
    <s v="Medium"/>
    <n v="15631268"/>
    <s v="Highly Viral"/>
    <s v="Partner_API"/>
    <x v="1"/>
  </r>
  <r>
    <s v="RD-0147"/>
    <x v="74"/>
    <x v="6"/>
    <x v="4"/>
    <s v="MP3"/>
    <s v="Independent_Creator"/>
    <x v="2"/>
    <n v="50.3"/>
    <x v="1"/>
    <n v="92.5"/>
    <x v="1"/>
    <x v="2"/>
    <s v="Human Content"/>
    <n v="0.83099999999999996"/>
    <s v="Partial"/>
    <n v="1283686"/>
    <s v="Medium"/>
    <n v="10205226"/>
    <s v="Highly Viral"/>
    <s v="Human_Reviewer"/>
    <x v="1"/>
  </r>
  <r>
    <s v="RD-0148"/>
    <x v="124"/>
    <x v="3"/>
    <x v="2"/>
    <s v="WAV"/>
    <s v="Verified_Org"/>
    <x v="4"/>
    <n v="84.6"/>
    <x v="2"/>
    <n v="62.3"/>
    <x v="0"/>
    <x v="1"/>
    <s v="AI Generated"/>
    <n v="0.63500000000000001"/>
    <s v="Partial"/>
    <n v="2302362"/>
    <s v="Medium"/>
    <n v="4200518"/>
    <s v="Moderately Viral"/>
    <s v="Community_Report"/>
    <x v="2"/>
  </r>
  <r>
    <s v="RD-0149"/>
    <x v="125"/>
    <x v="0"/>
    <x v="4"/>
    <s v="MP3"/>
    <s v="Verified_Org"/>
    <x v="1"/>
    <n v="15.4"/>
    <x v="0"/>
    <n v="82.3"/>
    <x v="1"/>
    <x v="0"/>
    <s v="Human Content"/>
    <n v="0.72099999999999997"/>
    <s v="Partial"/>
    <n v="2832258"/>
    <s v="Medium"/>
    <n v="18912383"/>
    <s v="Highly Viral"/>
    <s v="AI_Model"/>
    <x v="0"/>
  </r>
  <r>
    <s v="RD-0150"/>
    <x v="126"/>
    <x v="0"/>
    <x v="0"/>
    <s v="GIF"/>
    <s v="Celebrity"/>
    <x v="0"/>
    <n v="76.7"/>
    <x v="2"/>
    <n v="70.400000000000006"/>
    <x v="1"/>
    <x v="1"/>
    <s v="AI Generated"/>
    <n v="0.63900000000000001"/>
    <s v="No"/>
    <n v="4576735"/>
    <s v="High"/>
    <n v="9720267"/>
    <s v="Highly Viral"/>
    <s v="Community_Report"/>
    <x v="2"/>
  </r>
  <r>
    <s v="RD-0151"/>
    <x v="127"/>
    <x v="4"/>
    <x v="3"/>
    <s v="GIF"/>
    <s v="Anonymous"/>
    <x v="5"/>
    <n v="68.900000000000006"/>
    <x v="1"/>
    <n v="57.7"/>
    <x v="0"/>
    <x v="1"/>
    <s v="AI Generated"/>
    <n v="0.41599999999999998"/>
    <s v="No"/>
    <n v="1711569"/>
    <s v="Medium"/>
    <n v="11415468"/>
    <s v="Highly Viral"/>
    <s v="Partner_API"/>
    <x v="2"/>
  </r>
  <r>
    <s v="RD-0152"/>
    <x v="128"/>
    <x v="3"/>
    <x v="1"/>
    <s v="WAV"/>
    <s v="Anonymous"/>
    <x v="0"/>
    <n v="76.099999999999994"/>
    <x v="2"/>
    <n v="75.2"/>
    <x v="1"/>
    <x v="1"/>
    <s v="AI Generated"/>
    <n v="0.106"/>
    <s v="Yes"/>
    <n v="3913155"/>
    <s v="Medium"/>
    <n v="4111653"/>
    <s v="Moderately Viral"/>
    <s v="Community_Report"/>
    <x v="2"/>
  </r>
  <r>
    <s v="RD-0153"/>
    <x v="56"/>
    <x v="4"/>
    <x v="2"/>
    <s v="MP4"/>
    <s v="News_Outlet"/>
    <x v="4"/>
    <n v="94.5"/>
    <x v="2"/>
    <n v="92.3"/>
    <x v="1"/>
    <x v="1"/>
    <s v="AI Generated"/>
    <n v="0.41799999999999998"/>
    <s v="Yes"/>
    <n v="2746830"/>
    <s v="Medium"/>
    <n v="19384460"/>
    <s v="Highly Viral"/>
    <s v="Community_Report"/>
    <x v="2"/>
  </r>
  <r>
    <s v="RD-0154"/>
    <x v="129"/>
    <x v="6"/>
    <x v="3"/>
    <s v="WEBM"/>
    <s v="Anonymous"/>
    <x v="4"/>
    <n v="49.7"/>
    <x v="1"/>
    <n v="54.4"/>
    <x v="0"/>
    <x v="2"/>
    <s v="Human Content"/>
    <n v="0.39300000000000002"/>
    <s v="No"/>
    <n v="2019478"/>
    <s v="Medium"/>
    <n v="7219548"/>
    <s v="Highly Viral"/>
    <s v="Partner_API"/>
    <x v="1"/>
  </r>
  <r>
    <s v="RD-0155"/>
    <x v="130"/>
    <x v="1"/>
    <x v="0"/>
    <s v="GIF"/>
    <s v="Anonymous"/>
    <x v="1"/>
    <n v="88.2"/>
    <x v="2"/>
    <n v="82.1"/>
    <x v="1"/>
    <x v="1"/>
    <s v="AI Generated"/>
    <n v="0.47099999999999997"/>
    <s v="Partial"/>
    <n v="68697"/>
    <s v="Low"/>
    <n v="3607503"/>
    <s v="Moderately Viral"/>
    <s v="Automated_System"/>
    <x v="2"/>
  </r>
  <r>
    <s v="RD-0156"/>
    <x v="131"/>
    <x v="2"/>
    <x v="1"/>
    <s v="PDF"/>
    <s v="Bot_Network"/>
    <x v="5"/>
    <n v="40.1"/>
    <x v="1"/>
    <n v="77.900000000000006"/>
    <x v="1"/>
    <x v="2"/>
    <s v="Human Content"/>
    <n v="0.19500000000000001"/>
    <s v="Partial"/>
    <n v="2421066"/>
    <s v="Medium"/>
    <n v="2467816"/>
    <s v="Moderately Viral"/>
    <s v="Automated_System"/>
    <x v="1"/>
  </r>
  <r>
    <s v="RD-0157"/>
    <x v="132"/>
    <x v="5"/>
    <x v="4"/>
    <s v="GIF"/>
    <s v="Verified_Org"/>
    <x v="3"/>
    <n v="61.1"/>
    <x v="1"/>
    <n v="56.3"/>
    <x v="0"/>
    <x v="1"/>
    <s v="AI Generated"/>
    <n v="9.7000000000000003E-2"/>
    <s v="No"/>
    <n v="2844553"/>
    <s v="Medium"/>
    <n v="18718230"/>
    <s v="Highly Viral"/>
    <s v="Community_Report"/>
    <x v="1"/>
  </r>
  <r>
    <s v="RD-0158"/>
    <x v="128"/>
    <x v="4"/>
    <x v="4"/>
    <s v="PDF"/>
    <s v="Verified_Org"/>
    <x v="5"/>
    <n v="4.5"/>
    <x v="0"/>
    <n v="56.7"/>
    <x v="0"/>
    <x v="0"/>
    <s v="Human Content"/>
    <n v="0.33300000000000002"/>
    <s v="No"/>
    <n v="4356578"/>
    <s v="High"/>
    <n v="15334491"/>
    <s v="Highly Viral"/>
    <s v="Human_Reviewer"/>
    <x v="0"/>
  </r>
  <r>
    <s v="RD-0159"/>
    <x v="33"/>
    <x v="6"/>
    <x v="1"/>
    <s v="WAV"/>
    <s v="Independent_Creator"/>
    <x v="2"/>
    <n v="99.1"/>
    <x v="2"/>
    <n v="86.2"/>
    <x v="1"/>
    <x v="1"/>
    <s v="AI Generated"/>
    <n v="0.29899999999999999"/>
    <s v="No"/>
    <n v="4255766"/>
    <s v="High"/>
    <n v="17103667"/>
    <s v="Highly Viral"/>
    <s v="Partner_API"/>
    <x v="2"/>
  </r>
  <r>
    <s v="RD-0160"/>
    <x v="133"/>
    <x v="2"/>
    <x v="3"/>
    <s v="JPEG"/>
    <s v="Bot_Network"/>
    <x v="4"/>
    <n v="67.400000000000006"/>
    <x v="1"/>
    <n v="98"/>
    <x v="1"/>
    <x v="1"/>
    <s v="AI Generated"/>
    <n v="0.58399999999999996"/>
    <s v="Partial"/>
    <n v="223632"/>
    <s v="Low"/>
    <n v="15925105"/>
    <s v="Highly Viral"/>
    <s v="Community_Report"/>
    <x v="2"/>
  </r>
  <r>
    <s v="RD-0161"/>
    <x v="134"/>
    <x v="4"/>
    <x v="0"/>
    <s v="WEBM"/>
    <s v="Independent_Creator"/>
    <x v="1"/>
    <n v="62.9"/>
    <x v="1"/>
    <n v="80.400000000000006"/>
    <x v="1"/>
    <x v="1"/>
    <s v="AI Generated"/>
    <n v="0.84099999999999997"/>
    <s v="Yes"/>
    <n v="2031792"/>
    <s v="Medium"/>
    <n v="1059830"/>
    <s v="Moderately Viral"/>
    <s v="Partner_API"/>
    <x v="1"/>
  </r>
  <r>
    <s v="RD-0162"/>
    <x v="80"/>
    <x v="0"/>
    <x v="2"/>
    <s v="JPEG"/>
    <s v="Anonymous"/>
    <x v="4"/>
    <n v="41.9"/>
    <x v="1"/>
    <n v="70.2"/>
    <x v="1"/>
    <x v="2"/>
    <s v="Human Content"/>
    <n v="0.20399999999999999"/>
    <s v="Partial"/>
    <n v="3956213"/>
    <s v="Medium"/>
    <n v="2090313"/>
    <s v="Moderately Viral"/>
    <s v="Human_Reviewer"/>
    <x v="1"/>
  </r>
  <r>
    <s v="RD-0163"/>
    <x v="135"/>
    <x v="4"/>
    <x v="4"/>
    <s v="WAV"/>
    <s v="Celebrity"/>
    <x v="2"/>
    <n v="52.5"/>
    <x v="1"/>
    <n v="65.400000000000006"/>
    <x v="0"/>
    <x v="2"/>
    <s v="Human Content"/>
    <n v="0.17299999999999999"/>
    <s v="Partial"/>
    <n v="2871747"/>
    <s v="Medium"/>
    <n v="18330387"/>
    <s v="Highly Viral"/>
    <s v="Community_Report"/>
    <x v="1"/>
  </r>
  <r>
    <s v="RD-0164"/>
    <x v="79"/>
    <x v="2"/>
    <x v="4"/>
    <s v="WEBM"/>
    <s v="Independent_Creator"/>
    <x v="0"/>
    <n v="27.9"/>
    <x v="0"/>
    <n v="64.599999999999994"/>
    <x v="0"/>
    <x v="0"/>
    <s v="Human Content"/>
    <n v="0.94099999999999995"/>
    <s v="No"/>
    <n v="2424442"/>
    <s v="Medium"/>
    <n v="6955588"/>
    <s v="Highly Viral"/>
    <s v="Automated_System"/>
    <x v="0"/>
  </r>
  <r>
    <s v="RD-0165"/>
    <x v="136"/>
    <x v="5"/>
    <x v="1"/>
    <s v="GIF"/>
    <s v="Bot_Network"/>
    <x v="5"/>
    <n v="57.3"/>
    <x v="1"/>
    <n v="76.599999999999994"/>
    <x v="1"/>
    <x v="2"/>
    <s v="Human Content"/>
    <n v="0.89600000000000002"/>
    <s v="No"/>
    <n v="2895299"/>
    <s v="Medium"/>
    <n v="4915423"/>
    <s v="Moderately Viral"/>
    <s v="Community_Report"/>
    <x v="1"/>
  </r>
  <r>
    <s v="RD-0166"/>
    <x v="137"/>
    <x v="2"/>
    <x v="0"/>
    <s v="WAV"/>
    <s v="Anonymous"/>
    <x v="3"/>
    <n v="25.6"/>
    <x v="0"/>
    <n v="73.5"/>
    <x v="1"/>
    <x v="0"/>
    <s v="Human Content"/>
    <n v="0.20200000000000001"/>
    <s v="Partial"/>
    <n v="2274526"/>
    <s v="Medium"/>
    <n v="18858695"/>
    <s v="Highly Viral"/>
    <s v="Community_Report"/>
    <x v="0"/>
  </r>
  <r>
    <s v="RD-0167"/>
    <x v="138"/>
    <x v="0"/>
    <x v="4"/>
    <s v="PNG"/>
    <s v="Independent_Creator"/>
    <x v="5"/>
    <n v="67"/>
    <x v="1"/>
    <n v="76"/>
    <x v="1"/>
    <x v="1"/>
    <s v="AI Generated"/>
    <n v="0.63800000000000001"/>
    <s v="Yes"/>
    <n v="840621"/>
    <s v="Low"/>
    <n v="13868592"/>
    <s v="Highly Viral"/>
    <s v="Community_Report"/>
    <x v="2"/>
  </r>
  <r>
    <s v="RD-0168"/>
    <x v="139"/>
    <x v="0"/>
    <x v="2"/>
    <s v="JPEG"/>
    <s v="Verified_Org"/>
    <x v="0"/>
    <n v="40.700000000000003"/>
    <x v="1"/>
    <n v="95.8"/>
    <x v="1"/>
    <x v="2"/>
    <s v="Human Content"/>
    <n v="0.878"/>
    <s v="No"/>
    <n v="1673257"/>
    <s v="Medium"/>
    <n v="9638844"/>
    <s v="Highly Viral"/>
    <s v="Community_Report"/>
    <x v="1"/>
  </r>
  <r>
    <s v="RD-0169"/>
    <x v="140"/>
    <x v="1"/>
    <x v="0"/>
    <s v="PNG"/>
    <s v="Verified_Org"/>
    <x v="3"/>
    <n v="72.3"/>
    <x v="2"/>
    <n v="95.9"/>
    <x v="1"/>
    <x v="1"/>
    <s v="AI Generated"/>
    <n v="0.91300000000000003"/>
    <s v="Yes"/>
    <n v="3505573"/>
    <s v="Medium"/>
    <n v="5898990"/>
    <s v="Highly Viral"/>
    <s v="AI_Model"/>
    <x v="2"/>
  </r>
  <r>
    <s v="RD-0170"/>
    <x v="119"/>
    <x v="5"/>
    <x v="2"/>
    <s v="GIF"/>
    <s v="News_Outlet"/>
    <x v="5"/>
    <n v="29.8"/>
    <x v="0"/>
    <n v="79.5"/>
    <x v="1"/>
    <x v="0"/>
    <s v="Human Content"/>
    <n v="0.92800000000000005"/>
    <s v="No"/>
    <n v="2387176"/>
    <s v="Medium"/>
    <n v="15245925"/>
    <s v="Highly Viral"/>
    <s v="Partner_API"/>
    <x v="0"/>
  </r>
  <r>
    <s v="RD-0171"/>
    <x v="141"/>
    <x v="5"/>
    <x v="2"/>
    <s v="WEBM"/>
    <s v="Bot_Network"/>
    <x v="0"/>
    <n v="80.900000000000006"/>
    <x v="2"/>
    <n v="66.2"/>
    <x v="0"/>
    <x v="1"/>
    <s v="AI Generated"/>
    <n v="0.73099999999999998"/>
    <s v="Partial"/>
    <n v="2158194"/>
    <s v="Medium"/>
    <n v="6248304"/>
    <s v="Highly Viral"/>
    <s v="AI_Model"/>
    <x v="2"/>
  </r>
  <r>
    <s v="RD-0172"/>
    <x v="142"/>
    <x v="2"/>
    <x v="4"/>
    <s v="PNG"/>
    <s v="Independent_Creator"/>
    <x v="1"/>
    <n v="85.6"/>
    <x v="2"/>
    <n v="94"/>
    <x v="1"/>
    <x v="1"/>
    <s v="AI Generated"/>
    <n v="0.82699999999999996"/>
    <s v="Partial"/>
    <n v="2750948"/>
    <s v="Medium"/>
    <n v="2910936"/>
    <s v="Moderately Viral"/>
    <s v="Automated_System"/>
    <x v="2"/>
  </r>
  <r>
    <s v="RD-0173"/>
    <x v="143"/>
    <x v="0"/>
    <x v="2"/>
    <s v="MP3"/>
    <s v="Anonymous"/>
    <x v="4"/>
    <n v="93.6"/>
    <x v="2"/>
    <n v="50.3"/>
    <x v="0"/>
    <x v="1"/>
    <s v="AI Generated"/>
    <n v="0.38400000000000001"/>
    <s v="No"/>
    <n v="2239810"/>
    <s v="Medium"/>
    <n v="11060889"/>
    <s v="Highly Viral"/>
    <s v="Community_Report"/>
    <x v="2"/>
  </r>
  <r>
    <s v="RD-0174"/>
    <x v="144"/>
    <x v="1"/>
    <x v="1"/>
    <s v="WAV"/>
    <s v="Celebrity"/>
    <x v="0"/>
    <n v="6.2"/>
    <x v="0"/>
    <n v="55.8"/>
    <x v="0"/>
    <x v="0"/>
    <s v="Human Content"/>
    <n v="0.307"/>
    <s v="No"/>
    <n v="4215547"/>
    <s v="High"/>
    <n v="10435188"/>
    <s v="Highly Viral"/>
    <s v="AI_Model"/>
    <x v="0"/>
  </r>
  <r>
    <s v="RD-0175"/>
    <x v="0"/>
    <x v="2"/>
    <x v="1"/>
    <s v="PNG"/>
    <s v="Independent_Creator"/>
    <x v="0"/>
    <n v="47.8"/>
    <x v="1"/>
    <n v="72.3"/>
    <x v="1"/>
    <x v="2"/>
    <s v="Human Content"/>
    <n v="0.98899999999999999"/>
    <s v="No"/>
    <n v="3488465"/>
    <s v="Medium"/>
    <n v="18429751"/>
    <s v="Highly Viral"/>
    <s v="Automated_System"/>
    <x v="1"/>
  </r>
  <r>
    <s v="RD-0176"/>
    <x v="67"/>
    <x v="4"/>
    <x v="2"/>
    <s v="MP4"/>
    <s v="Verified_Org"/>
    <x v="2"/>
    <n v="52.8"/>
    <x v="1"/>
    <n v="67.7"/>
    <x v="0"/>
    <x v="2"/>
    <s v="Human Content"/>
    <n v="0.91700000000000004"/>
    <s v="Yes"/>
    <n v="518164"/>
    <s v="Low"/>
    <n v="18376559"/>
    <s v="Highly Viral"/>
    <s v="Partner_API"/>
    <x v="1"/>
  </r>
  <r>
    <s v="RD-0177"/>
    <x v="145"/>
    <x v="6"/>
    <x v="2"/>
    <s v="WAV"/>
    <s v="Verified_Org"/>
    <x v="2"/>
    <n v="11.6"/>
    <x v="0"/>
    <n v="60.1"/>
    <x v="0"/>
    <x v="0"/>
    <s v="Human Content"/>
    <n v="0.58299999999999996"/>
    <s v="Yes"/>
    <n v="4281438"/>
    <s v="High"/>
    <n v="14948418"/>
    <s v="Highly Viral"/>
    <s v="AI_Model"/>
    <x v="0"/>
  </r>
  <r>
    <s v="RD-0178"/>
    <x v="44"/>
    <x v="6"/>
    <x v="4"/>
    <s v="PDF"/>
    <s v="Anonymous"/>
    <x v="1"/>
    <n v="5.8"/>
    <x v="0"/>
    <n v="72.7"/>
    <x v="1"/>
    <x v="0"/>
    <s v="Human Content"/>
    <n v="0.80700000000000005"/>
    <s v="Partial"/>
    <n v="182723"/>
    <s v="Low"/>
    <n v="13286334"/>
    <s v="Highly Viral"/>
    <s v="Community_Report"/>
    <x v="0"/>
  </r>
  <r>
    <s v="RD-0179"/>
    <x v="146"/>
    <x v="4"/>
    <x v="4"/>
    <s v="MP4"/>
    <s v="News_Outlet"/>
    <x v="2"/>
    <n v="34.5"/>
    <x v="1"/>
    <n v="53.1"/>
    <x v="0"/>
    <x v="0"/>
    <s v="Human Content"/>
    <n v="0.99399999999999999"/>
    <s v="Yes"/>
    <n v="3960120"/>
    <s v="Medium"/>
    <n v="1065345"/>
    <s v="Moderately Viral"/>
    <s v="Community_Report"/>
    <x v="0"/>
  </r>
  <r>
    <s v="RD-0180"/>
    <x v="103"/>
    <x v="6"/>
    <x v="2"/>
    <s v="PDF"/>
    <s v="Bot_Network"/>
    <x v="2"/>
    <n v="44.9"/>
    <x v="1"/>
    <n v="94.9"/>
    <x v="1"/>
    <x v="2"/>
    <s v="Human Content"/>
    <n v="0.377"/>
    <s v="Yes"/>
    <n v="4524078"/>
    <s v="High"/>
    <n v="4462897"/>
    <s v="Moderately Viral"/>
    <s v="Community_Report"/>
    <x v="1"/>
  </r>
  <r>
    <s v="RD-0181"/>
    <x v="147"/>
    <x v="6"/>
    <x v="4"/>
    <s v="PDF"/>
    <s v="Verified_Org"/>
    <x v="0"/>
    <n v="72.8"/>
    <x v="2"/>
    <n v="60.9"/>
    <x v="0"/>
    <x v="1"/>
    <s v="AI Generated"/>
    <n v="3.0000000000000001E-3"/>
    <s v="Yes"/>
    <n v="2502950"/>
    <s v="Medium"/>
    <n v="15536332"/>
    <s v="Highly Viral"/>
    <s v="Partner_API"/>
    <x v="2"/>
  </r>
  <r>
    <s v="RD-0182"/>
    <x v="148"/>
    <x v="7"/>
    <x v="2"/>
    <s v="PNG"/>
    <s v="Anonymous"/>
    <x v="4"/>
    <n v="15.5"/>
    <x v="0"/>
    <n v="59.2"/>
    <x v="0"/>
    <x v="0"/>
    <s v="Human Content"/>
    <n v="0.875"/>
    <s v="Yes"/>
    <n v="270358"/>
    <s v="Low"/>
    <n v="14067880"/>
    <s v="Highly Viral"/>
    <s v="Partner_API"/>
    <x v="0"/>
  </r>
  <r>
    <s v="RD-0183"/>
    <x v="149"/>
    <x v="4"/>
    <x v="2"/>
    <s v="MP4"/>
    <s v="News_Outlet"/>
    <x v="1"/>
    <n v="3.4"/>
    <x v="0"/>
    <n v="79.3"/>
    <x v="1"/>
    <x v="0"/>
    <s v="Human Content"/>
    <n v="0.70299999999999996"/>
    <s v="Yes"/>
    <n v="2053078"/>
    <s v="Medium"/>
    <n v="1484838"/>
    <s v="Moderately Viral"/>
    <s v="Automated_System"/>
    <x v="0"/>
  </r>
  <r>
    <s v="RD-0184"/>
    <x v="150"/>
    <x v="4"/>
    <x v="4"/>
    <s v="PNG"/>
    <s v="News_Outlet"/>
    <x v="0"/>
    <n v="50.4"/>
    <x v="1"/>
    <n v="64.2"/>
    <x v="0"/>
    <x v="2"/>
    <s v="Human Content"/>
    <n v="0.81599999999999995"/>
    <s v="Partial"/>
    <n v="4832863"/>
    <s v="High"/>
    <n v="10701132"/>
    <s v="Highly Viral"/>
    <s v="Partner_API"/>
    <x v="1"/>
  </r>
  <r>
    <s v="RD-0185"/>
    <x v="151"/>
    <x v="3"/>
    <x v="2"/>
    <s v="GIF"/>
    <s v="Independent_Creator"/>
    <x v="3"/>
    <n v="52.1"/>
    <x v="1"/>
    <n v="70.3"/>
    <x v="1"/>
    <x v="2"/>
    <s v="Human Content"/>
    <n v="0.27500000000000002"/>
    <s v="Partial"/>
    <n v="4963363"/>
    <s v="High"/>
    <n v="5876994"/>
    <s v="Highly Viral"/>
    <s v="Automated_System"/>
    <x v="1"/>
  </r>
  <r>
    <s v="RD-0186"/>
    <x v="152"/>
    <x v="5"/>
    <x v="0"/>
    <s v="WAV"/>
    <s v="Celebrity"/>
    <x v="3"/>
    <n v="38.1"/>
    <x v="1"/>
    <n v="75.7"/>
    <x v="1"/>
    <x v="2"/>
    <s v="Human Content"/>
    <n v="0.69599999999999995"/>
    <s v="No"/>
    <n v="1251828"/>
    <s v="Medium"/>
    <n v="10063088"/>
    <s v="Highly Viral"/>
    <s v="Automated_System"/>
    <x v="1"/>
  </r>
  <r>
    <s v="RD-0187"/>
    <x v="153"/>
    <x v="5"/>
    <x v="2"/>
    <s v="PNG"/>
    <s v="Bot_Network"/>
    <x v="6"/>
    <n v="70.8"/>
    <x v="2"/>
    <n v="89.5"/>
    <x v="1"/>
    <x v="1"/>
    <s v="AI Generated"/>
    <n v="0.91500000000000004"/>
    <s v="Partial"/>
    <n v="3461889"/>
    <s v="Medium"/>
    <n v="13976184"/>
    <s v="Highly Viral"/>
    <s v="Partner_API"/>
    <x v="2"/>
  </r>
  <r>
    <s v="RD-0188"/>
    <x v="154"/>
    <x v="6"/>
    <x v="3"/>
    <s v="PNG"/>
    <s v="Bot_Network"/>
    <x v="0"/>
    <n v="33"/>
    <x v="1"/>
    <n v="53.9"/>
    <x v="0"/>
    <x v="0"/>
    <s v="Human Content"/>
    <n v="0.45"/>
    <s v="No"/>
    <n v="775744"/>
    <s v="Low"/>
    <n v="17973446"/>
    <s v="Highly Viral"/>
    <s v="Human_Reviewer"/>
    <x v="0"/>
  </r>
  <r>
    <s v="RD-0189"/>
    <x v="155"/>
    <x v="2"/>
    <x v="3"/>
    <s v="JPEG"/>
    <s v="News_Outlet"/>
    <x v="0"/>
    <n v="80.5"/>
    <x v="2"/>
    <n v="78.8"/>
    <x v="1"/>
    <x v="1"/>
    <s v="AI Generated"/>
    <n v="0.67100000000000004"/>
    <s v="Yes"/>
    <n v="4021550"/>
    <s v="High"/>
    <n v="7009654"/>
    <s v="Highly Viral"/>
    <s v="Community_Report"/>
    <x v="2"/>
  </r>
  <r>
    <s v="RD-0190"/>
    <x v="156"/>
    <x v="1"/>
    <x v="2"/>
    <s v="PNG"/>
    <s v="Celebrity"/>
    <x v="5"/>
    <n v="74.7"/>
    <x v="2"/>
    <n v="87"/>
    <x v="1"/>
    <x v="1"/>
    <s v="AI Generated"/>
    <n v="0.91400000000000003"/>
    <s v="Partial"/>
    <n v="1715680"/>
    <s v="Medium"/>
    <n v="13309263"/>
    <s v="Highly Viral"/>
    <s v="Human_Reviewer"/>
    <x v="2"/>
  </r>
  <r>
    <s v="RD-0191"/>
    <x v="65"/>
    <x v="3"/>
    <x v="1"/>
    <s v="PDF"/>
    <s v="Anonymous"/>
    <x v="1"/>
    <n v="64.900000000000006"/>
    <x v="1"/>
    <n v="65.099999999999994"/>
    <x v="0"/>
    <x v="1"/>
    <s v="AI Generated"/>
    <n v="0.36"/>
    <s v="No"/>
    <n v="3909225"/>
    <s v="Medium"/>
    <n v="3309243"/>
    <s v="Moderately Viral"/>
    <s v="Automated_System"/>
    <x v="1"/>
  </r>
  <r>
    <s v="RD-0192"/>
    <x v="157"/>
    <x v="4"/>
    <x v="1"/>
    <s v="WAV"/>
    <s v="Anonymous"/>
    <x v="5"/>
    <n v="56.3"/>
    <x v="1"/>
    <n v="60.8"/>
    <x v="0"/>
    <x v="2"/>
    <s v="Human Content"/>
    <n v="0.14599999999999999"/>
    <s v="No"/>
    <n v="4641613"/>
    <s v="High"/>
    <n v="19597358"/>
    <s v="Highly Viral"/>
    <s v="Partner_API"/>
    <x v="1"/>
  </r>
  <r>
    <s v="RD-0193"/>
    <x v="158"/>
    <x v="2"/>
    <x v="2"/>
    <s v="PNG"/>
    <s v="Bot_Network"/>
    <x v="0"/>
    <n v="38"/>
    <x v="1"/>
    <n v="90.8"/>
    <x v="1"/>
    <x v="2"/>
    <s v="Human Content"/>
    <n v="0.499"/>
    <s v="Partial"/>
    <n v="2831794"/>
    <s v="Medium"/>
    <n v="8634953"/>
    <s v="Highly Viral"/>
    <s v="Automated_System"/>
    <x v="1"/>
  </r>
  <r>
    <s v="RD-0194"/>
    <x v="109"/>
    <x v="5"/>
    <x v="3"/>
    <s v="MP3"/>
    <s v="Celebrity"/>
    <x v="6"/>
    <n v="35.200000000000003"/>
    <x v="1"/>
    <n v="56.9"/>
    <x v="0"/>
    <x v="2"/>
    <s v="Human Content"/>
    <n v="0.54700000000000004"/>
    <s v="Yes"/>
    <n v="4547873"/>
    <s v="High"/>
    <n v="1971220"/>
    <s v="Moderately Viral"/>
    <s v="Partner_API"/>
    <x v="1"/>
  </r>
  <r>
    <s v="RD-0195"/>
    <x v="159"/>
    <x v="0"/>
    <x v="0"/>
    <s v="JPEG"/>
    <s v="Anonymous"/>
    <x v="0"/>
    <n v="84.3"/>
    <x v="2"/>
    <n v="61.3"/>
    <x v="0"/>
    <x v="1"/>
    <s v="AI Generated"/>
    <n v="0.70699999999999996"/>
    <s v="Yes"/>
    <n v="1834853"/>
    <s v="Medium"/>
    <n v="16970080"/>
    <s v="Highly Viral"/>
    <s v="Automated_System"/>
    <x v="2"/>
  </r>
  <r>
    <s v="RD-0196"/>
    <x v="110"/>
    <x v="1"/>
    <x v="4"/>
    <s v="WEBM"/>
    <s v="Celebrity"/>
    <x v="2"/>
    <n v="1.6"/>
    <x v="0"/>
    <n v="76.099999999999994"/>
    <x v="1"/>
    <x v="0"/>
    <s v="Human Content"/>
    <n v="0.41099999999999998"/>
    <s v="Yes"/>
    <n v="4441177"/>
    <s v="High"/>
    <n v="9219269"/>
    <s v="Highly Viral"/>
    <s v="Partner_API"/>
    <x v="0"/>
  </r>
  <r>
    <s v="RD-0197"/>
    <x v="140"/>
    <x v="1"/>
    <x v="4"/>
    <s v="PDF"/>
    <s v="Independent_Creator"/>
    <x v="5"/>
    <n v="91.8"/>
    <x v="2"/>
    <n v="75.7"/>
    <x v="1"/>
    <x v="1"/>
    <s v="AI Generated"/>
    <n v="0.24099999999999999"/>
    <s v="Partial"/>
    <n v="4416332"/>
    <s v="High"/>
    <n v="8470249"/>
    <s v="Highly Viral"/>
    <s v="Community_Report"/>
    <x v="2"/>
  </r>
  <r>
    <s v="RD-0198"/>
    <x v="160"/>
    <x v="7"/>
    <x v="0"/>
    <s v="WAV"/>
    <s v="Anonymous"/>
    <x v="2"/>
    <n v="56.5"/>
    <x v="1"/>
    <n v="98.5"/>
    <x v="1"/>
    <x v="2"/>
    <s v="Human Content"/>
    <n v="0.22600000000000001"/>
    <s v="Partial"/>
    <n v="676363"/>
    <s v="Low"/>
    <n v="1063655"/>
    <s v="Moderately Viral"/>
    <s v="AI_Model"/>
    <x v="1"/>
  </r>
  <r>
    <s v="RD-0199"/>
    <x v="98"/>
    <x v="7"/>
    <x v="3"/>
    <s v="WEBM"/>
    <s v="News_Outlet"/>
    <x v="3"/>
    <n v="0.9"/>
    <x v="0"/>
    <n v="58.4"/>
    <x v="0"/>
    <x v="0"/>
    <s v="Human Content"/>
    <n v="0.5"/>
    <s v="No"/>
    <n v="2778999"/>
    <s v="Medium"/>
    <n v="18987497"/>
    <s v="Highly Viral"/>
    <s v="AI_Model"/>
    <x v="0"/>
  </r>
  <r>
    <s v="RD-0200"/>
    <x v="161"/>
    <x v="1"/>
    <x v="2"/>
    <s v="PNG"/>
    <s v="Celebrity"/>
    <x v="1"/>
    <n v="47.6"/>
    <x v="1"/>
    <n v="52.3"/>
    <x v="0"/>
    <x v="2"/>
    <s v="Human Content"/>
    <n v="7.3999999999999996E-2"/>
    <s v="No"/>
    <n v="4555371"/>
    <s v="High"/>
    <n v="18908753"/>
    <s v="Highly Viral"/>
    <s v="AI_Model"/>
    <x v="1"/>
  </r>
  <r>
    <s v="RD-0201"/>
    <x v="162"/>
    <x v="3"/>
    <x v="0"/>
    <s v="PNG"/>
    <s v="Verified_Org"/>
    <x v="0"/>
    <n v="75.2"/>
    <x v="2"/>
    <n v="84.9"/>
    <x v="1"/>
    <x v="1"/>
    <s v="AI Generated"/>
    <n v="0.39800000000000002"/>
    <s v="Yes"/>
    <n v="2510616"/>
    <s v="Medium"/>
    <n v="5451425"/>
    <s v="Highly Viral"/>
    <s v="Partner_API"/>
    <x v="2"/>
  </r>
  <r>
    <s v="RD-0202"/>
    <x v="163"/>
    <x v="7"/>
    <x v="4"/>
    <s v="WAV"/>
    <s v="Anonymous"/>
    <x v="6"/>
    <n v="74"/>
    <x v="2"/>
    <n v="88.7"/>
    <x v="1"/>
    <x v="1"/>
    <s v="AI Generated"/>
    <n v="0.68899999999999995"/>
    <s v="Yes"/>
    <n v="4201054"/>
    <s v="High"/>
    <n v="11605619"/>
    <s v="Highly Viral"/>
    <s v="AI_Model"/>
    <x v="2"/>
  </r>
  <r>
    <s v="RD-0203"/>
    <x v="164"/>
    <x v="7"/>
    <x v="2"/>
    <s v="MP4"/>
    <s v="Bot_Network"/>
    <x v="1"/>
    <n v="76.900000000000006"/>
    <x v="2"/>
    <n v="96.8"/>
    <x v="1"/>
    <x v="1"/>
    <s v="AI Generated"/>
    <n v="0.39700000000000002"/>
    <s v="No"/>
    <n v="248618"/>
    <s v="Low"/>
    <n v="9171833"/>
    <s v="Highly Viral"/>
    <s v="Automated_System"/>
    <x v="2"/>
  </r>
  <r>
    <s v="RD-0204"/>
    <x v="165"/>
    <x v="4"/>
    <x v="1"/>
    <s v="PDF"/>
    <s v="Anonymous"/>
    <x v="0"/>
    <n v="68"/>
    <x v="1"/>
    <n v="82.4"/>
    <x v="1"/>
    <x v="1"/>
    <s v="AI Generated"/>
    <n v="8.5999999999999993E-2"/>
    <s v="Partial"/>
    <n v="2477922"/>
    <s v="Medium"/>
    <n v="8269982"/>
    <s v="Highly Viral"/>
    <s v="AI_Model"/>
    <x v="2"/>
  </r>
  <r>
    <s v="RD-0205"/>
    <x v="166"/>
    <x v="2"/>
    <x v="2"/>
    <s v="PDF"/>
    <s v="Celebrity"/>
    <x v="6"/>
    <n v="63.4"/>
    <x v="1"/>
    <n v="86.2"/>
    <x v="1"/>
    <x v="1"/>
    <s v="AI Generated"/>
    <n v="0.317"/>
    <s v="Yes"/>
    <n v="767829"/>
    <s v="Low"/>
    <n v="174822"/>
    <s v="Low Viral"/>
    <s v="Community_Report"/>
    <x v="1"/>
  </r>
  <r>
    <s v="RD-0206"/>
    <x v="167"/>
    <x v="3"/>
    <x v="1"/>
    <s v="MP4"/>
    <s v="Independent_Creator"/>
    <x v="5"/>
    <n v="18.7"/>
    <x v="0"/>
    <n v="72"/>
    <x v="1"/>
    <x v="0"/>
    <s v="Human Content"/>
    <n v="0.55500000000000005"/>
    <s v="No"/>
    <n v="866583"/>
    <s v="Low"/>
    <n v="881703"/>
    <b v="0"/>
    <s v="AI_Model"/>
    <x v="0"/>
  </r>
  <r>
    <s v="RD-0207"/>
    <x v="29"/>
    <x v="0"/>
    <x v="4"/>
    <s v="WAV"/>
    <s v="Anonymous"/>
    <x v="5"/>
    <n v="29.2"/>
    <x v="0"/>
    <n v="69"/>
    <x v="0"/>
    <x v="0"/>
    <s v="Human Content"/>
    <n v="8.5000000000000006E-2"/>
    <s v="Partial"/>
    <n v="2036371"/>
    <s v="Medium"/>
    <n v="19192307"/>
    <s v="Highly Viral"/>
    <s v="Partner_API"/>
    <x v="0"/>
  </r>
  <r>
    <s v="RD-0208"/>
    <x v="168"/>
    <x v="7"/>
    <x v="2"/>
    <s v="MP3"/>
    <s v="Bot_Network"/>
    <x v="4"/>
    <n v="26.8"/>
    <x v="0"/>
    <n v="57.2"/>
    <x v="0"/>
    <x v="0"/>
    <s v="Human Content"/>
    <n v="0.16700000000000001"/>
    <s v="No"/>
    <n v="3532562"/>
    <s v="Medium"/>
    <n v="10058516"/>
    <s v="Highly Viral"/>
    <s v="Automated_System"/>
    <x v="0"/>
  </r>
  <r>
    <s v="RD-0209"/>
    <x v="169"/>
    <x v="3"/>
    <x v="1"/>
    <s v="PNG"/>
    <s v="Celebrity"/>
    <x v="3"/>
    <n v="49.6"/>
    <x v="1"/>
    <n v="80.2"/>
    <x v="1"/>
    <x v="2"/>
    <s v="Human Content"/>
    <n v="0.45800000000000002"/>
    <s v="Yes"/>
    <n v="2555756"/>
    <s v="Medium"/>
    <n v="227575"/>
    <s v="Low Viral"/>
    <s v="Automated_System"/>
    <x v="1"/>
  </r>
  <r>
    <s v="RD-0210"/>
    <x v="170"/>
    <x v="7"/>
    <x v="1"/>
    <s v="WEBM"/>
    <s v="Bot_Network"/>
    <x v="2"/>
    <n v="81.5"/>
    <x v="2"/>
    <n v="92.1"/>
    <x v="1"/>
    <x v="1"/>
    <s v="AI Generated"/>
    <n v="0.97399999999999998"/>
    <s v="Yes"/>
    <n v="2520333"/>
    <s v="Medium"/>
    <n v="10760237"/>
    <s v="Highly Viral"/>
    <s v="Partner_API"/>
    <x v="2"/>
  </r>
  <r>
    <s v="RD-0211"/>
    <x v="71"/>
    <x v="4"/>
    <x v="3"/>
    <s v="WAV"/>
    <s v="Independent_Creator"/>
    <x v="2"/>
    <n v="96.9"/>
    <x v="2"/>
    <n v="64.3"/>
    <x v="0"/>
    <x v="1"/>
    <s v="AI Generated"/>
    <n v="0.69499999999999995"/>
    <s v="No"/>
    <n v="4830925"/>
    <s v="High"/>
    <n v="8134909"/>
    <s v="Highly Viral"/>
    <s v="Community_Report"/>
    <x v="2"/>
  </r>
  <r>
    <s v="RD-0212"/>
    <x v="105"/>
    <x v="2"/>
    <x v="3"/>
    <s v="WAV"/>
    <s v="News_Outlet"/>
    <x v="1"/>
    <n v="20"/>
    <x v="0"/>
    <n v="98.9"/>
    <x v="1"/>
    <x v="0"/>
    <s v="Human Content"/>
    <n v="0.18"/>
    <s v="Partial"/>
    <n v="225888"/>
    <s v="Low"/>
    <n v="15489971"/>
    <s v="Highly Viral"/>
    <s v="Human_Reviewer"/>
    <x v="0"/>
  </r>
  <r>
    <s v="RD-0213"/>
    <x v="150"/>
    <x v="2"/>
    <x v="0"/>
    <s v="PDF"/>
    <s v="Celebrity"/>
    <x v="2"/>
    <n v="13.9"/>
    <x v="0"/>
    <n v="64.8"/>
    <x v="0"/>
    <x v="0"/>
    <s v="Human Content"/>
    <n v="0.253"/>
    <s v="Yes"/>
    <n v="3549554"/>
    <s v="Medium"/>
    <n v="12650212"/>
    <s v="Highly Viral"/>
    <s v="AI_Model"/>
    <x v="0"/>
  </r>
  <r>
    <s v="RD-0214"/>
    <x v="2"/>
    <x v="5"/>
    <x v="4"/>
    <s v="PDF"/>
    <s v="Verified_Org"/>
    <x v="1"/>
    <n v="92.3"/>
    <x v="2"/>
    <n v="92.6"/>
    <x v="1"/>
    <x v="1"/>
    <s v="AI Generated"/>
    <n v="0.41799999999999998"/>
    <s v="Yes"/>
    <n v="3016051"/>
    <s v="Medium"/>
    <n v="18016075"/>
    <s v="Highly Viral"/>
    <s v="Partner_API"/>
    <x v="2"/>
  </r>
  <r>
    <s v="RD-0215"/>
    <x v="73"/>
    <x v="0"/>
    <x v="0"/>
    <s v="PNG"/>
    <s v="Celebrity"/>
    <x v="3"/>
    <n v="35.5"/>
    <x v="1"/>
    <n v="81.7"/>
    <x v="1"/>
    <x v="2"/>
    <s v="Human Content"/>
    <n v="4.3999999999999997E-2"/>
    <s v="Partial"/>
    <n v="3352336"/>
    <s v="Medium"/>
    <n v="11127038"/>
    <s v="Highly Viral"/>
    <s v="Automated_System"/>
    <x v="1"/>
  </r>
  <r>
    <s v="RD-0216"/>
    <x v="99"/>
    <x v="1"/>
    <x v="0"/>
    <s v="GIF"/>
    <s v="Independent_Creator"/>
    <x v="1"/>
    <n v="74.7"/>
    <x v="2"/>
    <n v="77.3"/>
    <x v="1"/>
    <x v="1"/>
    <s v="AI Generated"/>
    <n v="0.68799999999999994"/>
    <s v="Yes"/>
    <n v="3739561"/>
    <s v="Medium"/>
    <n v="12553869"/>
    <s v="Highly Viral"/>
    <s v="Automated_System"/>
    <x v="2"/>
  </r>
  <r>
    <s v="RD-0217"/>
    <x v="171"/>
    <x v="6"/>
    <x v="1"/>
    <s v="JPEG"/>
    <s v="Anonymous"/>
    <x v="5"/>
    <n v="29.5"/>
    <x v="0"/>
    <n v="95.1"/>
    <x v="1"/>
    <x v="0"/>
    <s v="Human Content"/>
    <n v="8.5999999999999993E-2"/>
    <s v="Partial"/>
    <n v="1188557"/>
    <s v="Medium"/>
    <n v="11688470"/>
    <s v="Highly Viral"/>
    <s v="Community_Report"/>
    <x v="0"/>
  </r>
  <r>
    <s v="RD-0218"/>
    <x v="172"/>
    <x v="5"/>
    <x v="2"/>
    <s v="WEBM"/>
    <s v="Bot_Network"/>
    <x v="2"/>
    <n v="9.8000000000000007"/>
    <x v="0"/>
    <n v="85.4"/>
    <x v="1"/>
    <x v="0"/>
    <s v="Human Content"/>
    <n v="0.45200000000000001"/>
    <s v="Yes"/>
    <n v="2518897"/>
    <s v="Medium"/>
    <n v="1499814"/>
    <s v="Moderately Viral"/>
    <s v="AI_Model"/>
    <x v="0"/>
  </r>
  <r>
    <s v="RD-0219"/>
    <x v="173"/>
    <x v="3"/>
    <x v="0"/>
    <s v="MP3"/>
    <s v="Celebrity"/>
    <x v="0"/>
    <n v="51.6"/>
    <x v="1"/>
    <n v="77"/>
    <x v="1"/>
    <x v="2"/>
    <s v="Human Content"/>
    <n v="0.33100000000000002"/>
    <s v="No"/>
    <n v="3876091"/>
    <s v="Medium"/>
    <n v="7780281"/>
    <s v="Highly Viral"/>
    <s v="Automated_System"/>
    <x v="1"/>
  </r>
  <r>
    <s v="RD-0220"/>
    <x v="55"/>
    <x v="6"/>
    <x v="2"/>
    <s v="PDF"/>
    <s v="Anonymous"/>
    <x v="5"/>
    <n v="73.7"/>
    <x v="2"/>
    <n v="93.3"/>
    <x v="1"/>
    <x v="1"/>
    <s v="AI Generated"/>
    <n v="0.45"/>
    <s v="No"/>
    <n v="3261890"/>
    <s v="Medium"/>
    <n v="149818"/>
    <s v="Low Viral"/>
    <s v="Human_Reviewer"/>
    <x v="2"/>
  </r>
  <r>
    <s v="RD-0221"/>
    <x v="174"/>
    <x v="2"/>
    <x v="0"/>
    <s v="MP4"/>
    <s v="Verified_Org"/>
    <x v="0"/>
    <n v="36.6"/>
    <x v="1"/>
    <n v="59.7"/>
    <x v="0"/>
    <x v="2"/>
    <s v="Human Content"/>
    <n v="0.114"/>
    <s v="Partial"/>
    <n v="4106189"/>
    <s v="High"/>
    <n v="17707677"/>
    <s v="Highly Viral"/>
    <s v="Community_Report"/>
    <x v="1"/>
  </r>
  <r>
    <s v="RD-0222"/>
    <x v="175"/>
    <x v="7"/>
    <x v="4"/>
    <s v="PDF"/>
    <s v="Verified_Org"/>
    <x v="5"/>
    <n v="34.799999999999997"/>
    <x v="1"/>
    <n v="91.4"/>
    <x v="1"/>
    <x v="0"/>
    <s v="Human Content"/>
    <n v="0.61699999999999999"/>
    <s v="Partial"/>
    <n v="2495248"/>
    <s v="Medium"/>
    <n v="19803264"/>
    <s v="Highly Viral"/>
    <s v="AI_Model"/>
    <x v="0"/>
  </r>
  <r>
    <s v="RD-0223"/>
    <x v="176"/>
    <x v="6"/>
    <x v="1"/>
    <s v="MP4"/>
    <s v="Independent_Creator"/>
    <x v="4"/>
    <n v="11.7"/>
    <x v="0"/>
    <n v="68.3"/>
    <x v="0"/>
    <x v="0"/>
    <s v="Human Content"/>
    <n v="0.14099999999999999"/>
    <s v="No"/>
    <n v="3508543"/>
    <s v="Medium"/>
    <n v="4626558"/>
    <s v="Moderately Viral"/>
    <s v="Partner_API"/>
    <x v="0"/>
  </r>
  <r>
    <s v="RD-0224"/>
    <x v="177"/>
    <x v="7"/>
    <x v="2"/>
    <s v="WEBM"/>
    <s v="Celebrity"/>
    <x v="1"/>
    <n v="69.3"/>
    <x v="1"/>
    <n v="81.599999999999994"/>
    <x v="1"/>
    <x v="1"/>
    <s v="AI Generated"/>
    <n v="1"/>
    <s v="Partial"/>
    <n v="1399869"/>
    <s v="Medium"/>
    <n v="16430160"/>
    <s v="Highly Viral"/>
    <s v="Community_Report"/>
    <x v="2"/>
  </r>
  <r>
    <s v="RD-0225"/>
    <x v="8"/>
    <x v="6"/>
    <x v="1"/>
    <s v="WEBM"/>
    <s v="Verified_Org"/>
    <x v="5"/>
    <n v="86.6"/>
    <x v="2"/>
    <n v="96.6"/>
    <x v="1"/>
    <x v="1"/>
    <s v="AI Generated"/>
    <n v="0.48499999999999999"/>
    <s v="Yes"/>
    <n v="3220857"/>
    <s v="Medium"/>
    <n v="18844067"/>
    <s v="Highly Viral"/>
    <s v="Partner_API"/>
    <x v="2"/>
  </r>
  <r>
    <s v="RD-0226"/>
    <x v="178"/>
    <x v="5"/>
    <x v="3"/>
    <s v="WEBM"/>
    <s v="Anonymous"/>
    <x v="3"/>
    <n v="84"/>
    <x v="2"/>
    <n v="73.900000000000006"/>
    <x v="1"/>
    <x v="1"/>
    <s v="AI Generated"/>
    <n v="8.3000000000000004E-2"/>
    <s v="Yes"/>
    <n v="1850035"/>
    <s v="Medium"/>
    <n v="9801411"/>
    <s v="Highly Viral"/>
    <s v="AI_Model"/>
    <x v="2"/>
  </r>
  <r>
    <s v="RD-0227"/>
    <x v="179"/>
    <x v="4"/>
    <x v="4"/>
    <s v="GIF"/>
    <s v="Independent_Creator"/>
    <x v="6"/>
    <n v="45.7"/>
    <x v="1"/>
    <n v="86.4"/>
    <x v="1"/>
    <x v="2"/>
    <s v="Human Content"/>
    <n v="0.76600000000000001"/>
    <s v="Partial"/>
    <n v="4285051"/>
    <s v="High"/>
    <n v="3799230"/>
    <s v="Moderately Viral"/>
    <s v="Partner_API"/>
    <x v="1"/>
  </r>
  <r>
    <s v="RD-0228"/>
    <x v="180"/>
    <x v="2"/>
    <x v="4"/>
    <s v="WAV"/>
    <s v="Verified_Org"/>
    <x v="6"/>
    <n v="75.7"/>
    <x v="2"/>
    <n v="87.2"/>
    <x v="1"/>
    <x v="1"/>
    <s v="AI Generated"/>
    <n v="0.441"/>
    <s v="Yes"/>
    <n v="3566556"/>
    <s v="Medium"/>
    <n v="3437025"/>
    <s v="Moderately Viral"/>
    <s v="Human_Reviewer"/>
    <x v="2"/>
  </r>
  <r>
    <s v="RD-0229"/>
    <x v="181"/>
    <x v="1"/>
    <x v="3"/>
    <s v="GIF"/>
    <s v="Bot_Network"/>
    <x v="6"/>
    <n v="81.7"/>
    <x v="2"/>
    <n v="71.5"/>
    <x v="1"/>
    <x v="1"/>
    <s v="AI Generated"/>
    <n v="0.99399999999999999"/>
    <s v="Yes"/>
    <n v="1760685"/>
    <s v="Medium"/>
    <n v="19727952"/>
    <s v="Highly Viral"/>
    <s v="Community_Report"/>
    <x v="2"/>
  </r>
  <r>
    <s v="RD-0230"/>
    <x v="182"/>
    <x v="7"/>
    <x v="2"/>
    <s v="MP3"/>
    <s v="Independent_Creator"/>
    <x v="6"/>
    <n v="20.7"/>
    <x v="0"/>
    <n v="52.9"/>
    <x v="0"/>
    <x v="0"/>
    <s v="Human Content"/>
    <n v="0.35099999999999998"/>
    <s v="No"/>
    <n v="4519618"/>
    <s v="High"/>
    <n v="5650306"/>
    <s v="Highly Viral"/>
    <s v="Community_Report"/>
    <x v="0"/>
  </r>
  <r>
    <s v="RD-0231"/>
    <x v="120"/>
    <x v="2"/>
    <x v="1"/>
    <s v="GIF"/>
    <s v="Verified_Org"/>
    <x v="3"/>
    <n v="81.5"/>
    <x v="2"/>
    <n v="56.6"/>
    <x v="0"/>
    <x v="1"/>
    <s v="AI Generated"/>
    <n v="0.75"/>
    <s v="No"/>
    <n v="497426"/>
    <s v="Low"/>
    <n v="9305933"/>
    <s v="Highly Viral"/>
    <s v="Human_Reviewer"/>
    <x v="2"/>
  </r>
  <r>
    <s v="RD-0232"/>
    <x v="57"/>
    <x v="6"/>
    <x v="2"/>
    <s v="MP3"/>
    <s v="Celebrity"/>
    <x v="4"/>
    <n v="82.8"/>
    <x v="2"/>
    <n v="87.3"/>
    <x v="1"/>
    <x v="1"/>
    <s v="AI Generated"/>
    <n v="0.67600000000000005"/>
    <s v="No"/>
    <n v="1192722"/>
    <s v="Medium"/>
    <n v="19375685"/>
    <s v="Highly Viral"/>
    <s v="Community_Report"/>
    <x v="2"/>
  </r>
  <r>
    <s v="RD-0233"/>
    <x v="183"/>
    <x v="7"/>
    <x v="3"/>
    <s v="WEBM"/>
    <s v="News_Outlet"/>
    <x v="3"/>
    <n v="79.5"/>
    <x v="2"/>
    <n v="87.7"/>
    <x v="1"/>
    <x v="1"/>
    <s v="AI Generated"/>
    <n v="0.40300000000000002"/>
    <s v="Partial"/>
    <n v="2334026"/>
    <s v="Medium"/>
    <n v="12384473"/>
    <s v="Highly Viral"/>
    <s v="Automated_System"/>
    <x v="2"/>
  </r>
  <r>
    <s v="RD-0234"/>
    <x v="184"/>
    <x v="3"/>
    <x v="4"/>
    <s v="JPEG"/>
    <s v="Celebrity"/>
    <x v="5"/>
    <n v="73.099999999999994"/>
    <x v="2"/>
    <n v="72.5"/>
    <x v="1"/>
    <x v="1"/>
    <s v="AI Generated"/>
    <n v="0.66400000000000003"/>
    <s v="No"/>
    <n v="531356"/>
    <s v="Low"/>
    <n v="17932809"/>
    <s v="Highly Viral"/>
    <s v="Automated_System"/>
    <x v="2"/>
  </r>
  <r>
    <s v="RD-0235"/>
    <x v="46"/>
    <x v="7"/>
    <x v="2"/>
    <s v="WEBM"/>
    <s v="Bot_Network"/>
    <x v="4"/>
    <n v="82.8"/>
    <x v="2"/>
    <n v="66.599999999999994"/>
    <x v="0"/>
    <x v="1"/>
    <s v="AI Generated"/>
    <n v="0.57799999999999996"/>
    <s v="Partial"/>
    <n v="4071409"/>
    <s v="High"/>
    <n v="11534487"/>
    <s v="Highly Viral"/>
    <s v="AI_Model"/>
    <x v="2"/>
  </r>
  <r>
    <s v="RD-0236"/>
    <x v="53"/>
    <x v="0"/>
    <x v="3"/>
    <s v="JPEG"/>
    <s v="News_Outlet"/>
    <x v="6"/>
    <n v="15.8"/>
    <x v="0"/>
    <n v="72.400000000000006"/>
    <x v="1"/>
    <x v="0"/>
    <s v="Human Content"/>
    <n v="0.99199999999999999"/>
    <s v="No"/>
    <n v="1697268"/>
    <s v="Medium"/>
    <n v="4426768"/>
    <s v="Moderately Viral"/>
    <s v="Community_Report"/>
    <x v="0"/>
  </r>
  <r>
    <s v="RD-0237"/>
    <x v="185"/>
    <x v="2"/>
    <x v="0"/>
    <s v="WAV"/>
    <s v="Bot_Network"/>
    <x v="5"/>
    <n v="37.200000000000003"/>
    <x v="1"/>
    <n v="94.3"/>
    <x v="1"/>
    <x v="2"/>
    <s v="Human Content"/>
    <n v="0.16600000000000001"/>
    <s v="No"/>
    <n v="2562897"/>
    <s v="Medium"/>
    <n v="7857063"/>
    <s v="Highly Viral"/>
    <s v="Automated_System"/>
    <x v="1"/>
  </r>
  <r>
    <s v="RD-0238"/>
    <x v="134"/>
    <x v="0"/>
    <x v="0"/>
    <s v="JPEG"/>
    <s v="Independent_Creator"/>
    <x v="2"/>
    <n v="7.8"/>
    <x v="0"/>
    <n v="79.099999999999994"/>
    <x v="1"/>
    <x v="0"/>
    <s v="Human Content"/>
    <n v="0.51900000000000002"/>
    <s v="No"/>
    <n v="78004"/>
    <s v="Low"/>
    <n v="271034"/>
    <s v="Low Viral"/>
    <s v="Community_Report"/>
    <x v="0"/>
  </r>
  <r>
    <s v="RD-0239"/>
    <x v="48"/>
    <x v="7"/>
    <x v="2"/>
    <s v="WEBM"/>
    <s v="News_Outlet"/>
    <x v="0"/>
    <n v="38.299999999999997"/>
    <x v="1"/>
    <n v="85.8"/>
    <x v="1"/>
    <x v="2"/>
    <s v="Human Content"/>
    <n v="0.10199999999999999"/>
    <s v="No"/>
    <n v="3083430"/>
    <s v="Medium"/>
    <n v="10041842"/>
    <s v="Highly Viral"/>
    <s v="Human_Reviewer"/>
    <x v="1"/>
  </r>
  <r>
    <s v="RD-0240"/>
    <x v="186"/>
    <x v="6"/>
    <x v="2"/>
    <s v="MP4"/>
    <s v="Verified_Org"/>
    <x v="1"/>
    <n v="0.8"/>
    <x v="0"/>
    <n v="81.900000000000006"/>
    <x v="1"/>
    <x v="0"/>
    <s v="Human Content"/>
    <n v="0.44"/>
    <s v="Partial"/>
    <n v="1787338"/>
    <s v="Medium"/>
    <n v="5079772"/>
    <s v="Highly Viral"/>
    <s v="Automated_System"/>
    <x v="0"/>
  </r>
  <r>
    <s v="RD-0241"/>
    <x v="187"/>
    <x v="5"/>
    <x v="2"/>
    <s v="MP4"/>
    <s v="News_Outlet"/>
    <x v="0"/>
    <n v="75.2"/>
    <x v="2"/>
    <n v="78.900000000000006"/>
    <x v="1"/>
    <x v="1"/>
    <s v="AI Generated"/>
    <n v="0.38400000000000001"/>
    <s v="No"/>
    <n v="2638347"/>
    <s v="Medium"/>
    <n v="4692422"/>
    <s v="Moderately Viral"/>
    <s v="Human_Reviewer"/>
    <x v="2"/>
  </r>
  <r>
    <s v="RD-0242"/>
    <x v="83"/>
    <x v="0"/>
    <x v="2"/>
    <s v="GIF"/>
    <s v="Celebrity"/>
    <x v="5"/>
    <n v="84.8"/>
    <x v="2"/>
    <n v="82.3"/>
    <x v="1"/>
    <x v="1"/>
    <s v="AI Generated"/>
    <n v="0.30199999999999999"/>
    <s v="Partial"/>
    <n v="4274285"/>
    <s v="High"/>
    <n v="6330426"/>
    <s v="Highly Viral"/>
    <s v="Automated_System"/>
    <x v="2"/>
  </r>
  <r>
    <s v="RD-0243"/>
    <x v="20"/>
    <x v="1"/>
    <x v="2"/>
    <s v="WEBM"/>
    <s v="Anonymous"/>
    <x v="5"/>
    <n v="24.1"/>
    <x v="0"/>
    <n v="81.3"/>
    <x v="1"/>
    <x v="0"/>
    <s v="Human Content"/>
    <n v="7.0999999999999994E-2"/>
    <s v="Yes"/>
    <n v="3029211"/>
    <s v="Medium"/>
    <n v="10619560"/>
    <s v="Highly Viral"/>
    <s v="Human_Reviewer"/>
    <x v="0"/>
  </r>
  <r>
    <s v="RD-0244"/>
    <x v="81"/>
    <x v="7"/>
    <x v="1"/>
    <s v="MP3"/>
    <s v="Anonymous"/>
    <x v="6"/>
    <n v="7.3"/>
    <x v="0"/>
    <n v="78.8"/>
    <x v="1"/>
    <x v="0"/>
    <s v="Human Content"/>
    <n v="1.4E-2"/>
    <s v="Yes"/>
    <n v="334191"/>
    <s v="Low"/>
    <n v="2029498"/>
    <s v="Moderately Viral"/>
    <s v="Automated_System"/>
    <x v="0"/>
  </r>
  <r>
    <s v="RD-0245"/>
    <x v="11"/>
    <x v="2"/>
    <x v="4"/>
    <s v="PDF"/>
    <s v="Anonymous"/>
    <x v="3"/>
    <n v="40.200000000000003"/>
    <x v="1"/>
    <n v="81.400000000000006"/>
    <x v="1"/>
    <x v="2"/>
    <s v="Human Content"/>
    <n v="0.53800000000000003"/>
    <s v="Yes"/>
    <n v="2327668"/>
    <s v="Medium"/>
    <n v="2805552"/>
    <s v="Moderately Viral"/>
    <s v="Community_Report"/>
    <x v="1"/>
  </r>
  <r>
    <s v="RD-0246"/>
    <x v="188"/>
    <x v="4"/>
    <x v="2"/>
    <s v="WAV"/>
    <s v="Anonymous"/>
    <x v="1"/>
    <n v="63.4"/>
    <x v="1"/>
    <n v="90.9"/>
    <x v="1"/>
    <x v="1"/>
    <s v="AI Generated"/>
    <n v="0.68100000000000005"/>
    <s v="Yes"/>
    <n v="2601990"/>
    <s v="Medium"/>
    <n v="14680095"/>
    <s v="Highly Viral"/>
    <s v="Human_Reviewer"/>
    <x v="1"/>
  </r>
  <r>
    <s v="RD-0247"/>
    <x v="189"/>
    <x v="4"/>
    <x v="0"/>
    <s v="PDF"/>
    <s v="News_Outlet"/>
    <x v="2"/>
    <n v="61.2"/>
    <x v="1"/>
    <n v="52.7"/>
    <x v="0"/>
    <x v="1"/>
    <s v="AI Generated"/>
    <n v="0.66600000000000004"/>
    <s v="Partial"/>
    <n v="1473524"/>
    <s v="Medium"/>
    <n v="4008342"/>
    <s v="Moderately Viral"/>
    <s v="AI_Model"/>
    <x v="1"/>
  </r>
  <r>
    <s v="RD-0248"/>
    <x v="190"/>
    <x v="6"/>
    <x v="0"/>
    <s v="MP3"/>
    <s v="Anonymous"/>
    <x v="4"/>
    <n v="52.3"/>
    <x v="1"/>
    <n v="88.4"/>
    <x v="1"/>
    <x v="2"/>
    <s v="Human Content"/>
    <n v="0.72099999999999997"/>
    <s v="Yes"/>
    <n v="3119566"/>
    <s v="Medium"/>
    <n v="4259584"/>
    <s v="Moderately Viral"/>
    <s v="Community_Report"/>
    <x v="1"/>
  </r>
  <r>
    <s v="RD-0249"/>
    <x v="147"/>
    <x v="1"/>
    <x v="1"/>
    <s v="PDF"/>
    <s v="Bot_Network"/>
    <x v="1"/>
    <n v="6.4"/>
    <x v="0"/>
    <n v="84.9"/>
    <x v="1"/>
    <x v="0"/>
    <s v="Human Content"/>
    <n v="0.57699999999999996"/>
    <s v="Yes"/>
    <n v="4162087"/>
    <s v="High"/>
    <n v="15274402"/>
    <s v="Highly Viral"/>
    <s v="Partner_API"/>
    <x v="0"/>
  </r>
  <r>
    <s v="RD-0250"/>
    <x v="191"/>
    <x v="1"/>
    <x v="3"/>
    <s v="MP3"/>
    <s v="Bot_Network"/>
    <x v="0"/>
    <n v="25.5"/>
    <x v="0"/>
    <n v="55"/>
    <x v="0"/>
    <x v="0"/>
    <s v="Human Content"/>
    <n v="0.57399999999999995"/>
    <s v="Partial"/>
    <n v="967588"/>
    <s v="Low"/>
    <n v="7664480"/>
    <s v="Highly Viral"/>
    <s v="Partner_API"/>
    <x v="0"/>
  </r>
  <r>
    <s v="RD-0251"/>
    <x v="146"/>
    <x v="1"/>
    <x v="0"/>
    <s v="PNG"/>
    <s v="News_Outlet"/>
    <x v="2"/>
    <n v="36.4"/>
    <x v="1"/>
    <n v="95.1"/>
    <x v="1"/>
    <x v="2"/>
    <s v="Human Content"/>
    <n v="0.17899999999999999"/>
    <s v="Yes"/>
    <n v="4637865"/>
    <s v="High"/>
    <n v="14072198"/>
    <s v="Highly Viral"/>
    <s v="Human_Reviewer"/>
    <x v="1"/>
  </r>
  <r>
    <s v="RD-0252"/>
    <x v="192"/>
    <x v="4"/>
    <x v="3"/>
    <s v="WAV"/>
    <s v="Bot_Network"/>
    <x v="6"/>
    <n v="7.8"/>
    <x v="0"/>
    <n v="68.3"/>
    <x v="0"/>
    <x v="0"/>
    <s v="Human Content"/>
    <n v="0.502"/>
    <s v="Yes"/>
    <n v="1504549"/>
    <s v="Medium"/>
    <n v="7489347"/>
    <s v="Highly Viral"/>
    <s v="Partner_API"/>
    <x v="0"/>
  </r>
  <r>
    <s v="RD-0253"/>
    <x v="53"/>
    <x v="7"/>
    <x v="0"/>
    <s v="WEBM"/>
    <s v="Bot_Network"/>
    <x v="6"/>
    <n v="84.5"/>
    <x v="2"/>
    <n v="66"/>
    <x v="0"/>
    <x v="1"/>
    <s v="AI Generated"/>
    <n v="0.55300000000000005"/>
    <s v="Yes"/>
    <n v="3094819"/>
    <s v="Medium"/>
    <n v="6733906"/>
    <s v="Highly Viral"/>
    <s v="Community_Report"/>
    <x v="2"/>
  </r>
  <r>
    <s v="RD-0254"/>
    <x v="193"/>
    <x v="2"/>
    <x v="4"/>
    <s v="PNG"/>
    <s v="Anonymous"/>
    <x v="4"/>
    <n v="59.2"/>
    <x v="1"/>
    <n v="74.2"/>
    <x v="1"/>
    <x v="2"/>
    <s v="Human Content"/>
    <n v="0.77300000000000002"/>
    <s v="Yes"/>
    <n v="4584971"/>
    <s v="High"/>
    <n v="8225593"/>
    <s v="Highly Viral"/>
    <s v="Human_Reviewer"/>
    <x v="1"/>
  </r>
  <r>
    <s v="RD-0255"/>
    <x v="93"/>
    <x v="7"/>
    <x v="0"/>
    <s v="PNG"/>
    <s v="Verified_Org"/>
    <x v="4"/>
    <n v="63.6"/>
    <x v="1"/>
    <n v="84"/>
    <x v="1"/>
    <x v="1"/>
    <s v="AI Generated"/>
    <n v="0.01"/>
    <s v="No"/>
    <n v="12364"/>
    <s v="Low"/>
    <n v="12626188"/>
    <s v="Highly Viral"/>
    <s v="Community_Report"/>
    <x v="1"/>
  </r>
  <r>
    <s v="RD-0256"/>
    <x v="194"/>
    <x v="4"/>
    <x v="4"/>
    <s v="PNG"/>
    <s v="Anonymous"/>
    <x v="2"/>
    <n v="96.1"/>
    <x v="2"/>
    <n v="97.7"/>
    <x v="1"/>
    <x v="1"/>
    <s v="AI Generated"/>
    <n v="0.14199999999999999"/>
    <s v="No"/>
    <n v="780464"/>
    <s v="Low"/>
    <n v="1473548"/>
    <s v="Moderately Viral"/>
    <s v="Human_Reviewer"/>
    <x v="2"/>
  </r>
  <r>
    <s v="RD-0257"/>
    <x v="195"/>
    <x v="7"/>
    <x v="1"/>
    <s v="WEBM"/>
    <s v="Celebrity"/>
    <x v="5"/>
    <n v="58.1"/>
    <x v="1"/>
    <n v="74.8"/>
    <x v="1"/>
    <x v="2"/>
    <s v="Human Content"/>
    <n v="0.63700000000000001"/>
    <s v="No"/>
    <n v="627823"/>
    <s v="Low"/>
    <n v="19861226"/>
    <s v="Highly Viral"/>
    <s v="Partner_API"/>
    <x v="1"/>
  </r>
  <r>
    <s v="RD-0258"/>
    <x v="17"/>
    <x v="7"/>
    <x v="2"/>
    <s v="PNG"/>
    <s v="Bot_Network"/>
    <x v="4"/>
    <n v="85.1"/>
    <x v="2"/>
    <n v="95.4"/>
    <x v="1"/>
    <x v="1"/>
    <s v="AI Generated"/>
    <n v="0.39300000000000002"/>
    <s v="Partial"/>
    <n v="2736896"/>
    <s v="Medium"/>
    <n v="10672746"/>
    <s v="Highly Viral"/>
    <s v="Automated_System"/>
    <x v="2"/>
  </r>
  <r>
    <s v="RD-0259"/>
    <x v="196"/>
    <x v="4"/>
    <x v="0"/>
    <s v="PNG"/>
    <s v="Independent_Creator"/>
    <x v="6"/>
    <n v="77"/>
    <x v="2"/>
    <n v="55.3"/>
    <x v="0"/>
    <x v="1"/>
    <s v="AI Generated"/>
    <n v="0.106"/>
    <s v="No"/>
    <n v="3909653"/>
    <s v="Medium"/>
    <n v="10537708"/>
    <s v="Highly Viral"/>
    <s v="Automated_System"/>
    <x v="2"/>
  </r>
  <r>
    <s v="RD-0260"/>
    <x v="48"/>
    <x v="3"/>
    <x v="2"/>
    <s v="WEBM"/>
    <s v="Bot_Network"/>
    <x v="2"/>
    <n v="26.5"/>
    <x v="0"/>
    <n v="55.9"/>
    <x v="0"/>
    <x v="0"/>
    <s v="Human Content"/>
    <n v="0.158"/>
    <s v="Partial"/>
    <n v="2552040"/>
    <s v="Medium"/>
    <n v="1353743"/>
    <s v="Moderately Viral"/>
    <s v="Human_Reviewer"/>
    <x v="0"/>
  </r>
  <r>
    <s v="RD-0261"/>
    <x v="197"/>
    <x v="6"/>
    <x v="0"/>
    <s v="PNG"/>
    <s v="Bot_Network"/>
    <x v="2"/>
    <n v="51.3"/>
    <x v="1"/>
    <n v="83.2"/>
    <x v="1"/>
    <x v="2"/>
    <s v="Human Content"/>
    <n v="0.26"/>
    <s v="Yes"/>
    <n v="260835"/>
    <s v="Low"/>
    <n v="13569651"/>
    <s v="Highly Viral"/>
    <s v="Automated_System"/>
    <x v="1"/>
  </r>
  <r>
    <s v="RD-0262"/>
    <x v="152"/>
    <x v="4"/>
    <x v="0"/>
    <s v="WEBM"/>
    <s v="News_Outlet"/>
    <x v="6"/>
    <n v="79.400000000000006"/>
    <x v="2"/>
    <n v="56"/>
    <x v="0"/>
    <x v="1"/>
    <s v="AI Generated"/>
    <n v="6.2E-2"/>
    <s v="Yes"/>
    <n v="1096618"/>
    <s v="Medium"/>
    <n v="6648741"/>
    <s v="Highly Viral"/>
    <s v="Automated_System"/>
    <x v="2"/>
  </r>
  <r>
    <s v="RD-0263"/>
    <x v="198"/>
    <x v="0"/>
    <x v="4"/>
    <s v="GIF"/>
    <s v="News_Outlet"/>
    <x v="5"/>
    <n v="99.7"/>
    <x v="2"/>
    <n v="59.7"/>
    <x v="0"/>
    <x v="1"/>
    <s v="AI Generated"/>
    <n v="0.64600000000000002"/>
    <s v="Yes"/>
    <n v="771672"/>
    <s v="Low"/>
    <n v="11125468"/>
    <s v="Highly Viral"/>
    <s v="AI_Model"/>
    <x v="2"/>
  </r>
  <r>
    <s v="RD-0264"/>
    <x v="137"/>
    <x v="5"/>
    <x v="0"/>
    <s v="MP3"/>
    <s v="Verified_Org"/>
    <x v="2"/>
    <n v="82.2"/>
    <x v="2"/>
    <n v="69.400000000000006"/>
    <x v="0"/>
    <x v="1"/>
    <s v="AI Generated"/>
    <n v="2.9000000000000001E-2"/>
    <s v="Partial"/>
    <n v="3579217"/>
    <s v="Medium"/>
    <n v="5798947"/>
    <s v="Highly Viral"/>
    <s v="Community_Report"/>
    <x v="2"/>
  </r>
  <r>
    <s v="RD-0265"/>
    <x v="199"/>
    <x v="6"/>
    <x v="1"/>
    <s v="GIF"/>
    <s v="Anonymous"/>
    <x v="0"/>
    <n v="3.5"/>
    <x v="0"/>
    <n v="80.3"/>
    <x v="1"/>
    <x v="0"/>
    <s v="Human Content"/>
    <n v="0.246"/>
    <s v="No"/>
    <n v="4185106"/>
    <s v="High"/>
    <n v="13824664"/>
    <s v="Highly Viral"/>
    <s v="Partner_API"/>
    <x v="0"/>
  </r>
  <r>
    <s v="RD-0266"/>
    <x v="54"/>
    <x v="1"/>
    <x v="0"/>
    <s v="GIF"/>
    <s v="Anonymous"/>
    <x v="0"/>
    <n v="41.9"/>
    <x v="1"/>
    <n v="81.5"/>
    <x v="1"/>
    <x v="2"/>
    <s v="Human Content"/>
    <n v="0.79700000000000004"/>
    <s v="Yes"/>
    <n v="4560622"/>
    <s v="High"/>
    <n v="655817"/>
    <b v="0"/>
    <s v="Automated_System"/>
    <x v="1"/>
  </r>
  <r>
    <s v="RD-0267"/>
    <x v="75"/>
    <x v="5"/>
    <x v="4"/>
    <s v="WEBM"/>
    <s v="Bot_Network"/>
    <x v="1"/>
    <n v="50.2"/>
    <x v="1"/>
    <n v="69"/>
    <x v="0"/>
    <x v="2"/>
    <s v="Human Content"/>
    <n v="0.18"/>
    <s v="No"/>
    <n v="1837374"/>
    <s v="Medium"/>
    <n v="983760"/>
    <b v="0"/>
    <s v="Community_Report"/>
    <x v="1"/>
  </r>
  <r>
    <s v="RD-0268"/>
    <x v="189"/>
    <x v="5"/>
    <x v="4"/>
    <s v="WAV"/>
    <s v="Verified_Org"/>
    <x v="0"/>
    <n v="97.4"/>
    <x v="2"/>
    <n v="54.9"/>
    <x v="0"/>
    <x v="1"/>
    <s v="AI Generated"/>
    <n v="0.65700000000000003"/>
    <s v="No"/>
    <n v="4477012"/>
    <s v="High"/>
    <n v="1876483"/>
    <s v="Moderately Viral"/>
    <s v="Human_Reviewer"/>
    <x v="2"/>
  </r>
  <r>
    <s v="RD-0269"/>
    <x v="200"/>
    <x v="7"/>
    <x v="1"/>
    <s v="MP3"/>
    <s v="Independent_Creator"/>
    <x v="0"/>
    <n v="59.3"/>
    <x v="1"/>
    <n v="89.5"/>
    <x v="1"/>
    <x v="2"/>
    <s v="Human Content"/>
    <n v="0.69799999999999995"/>
    <s v="Partial"/>
    <n v="236713"/>
    <s v="Low"/>
    <n v="11800994"/>
    <s v="Highly Viral"/>
    <s v="Partner_API"/>
    <x v="1"/>
  </r>
  <r>
    <s v="RD-0270"/>
    <x v="193"/>
    <x v="6"/>
    <x v="4"/>
    <s v="PNG"/>
    <s v="Anonymous"/>
    <x v="1"/>
    <n v="30.9"/>
    <x v="1"/>
    <n v="74"/>
    <x v="1"/>
    <x v="0"/>
    <s v="Human Content"/>
    <n v="0.09"/>
    <s v="Yes"/>
    <n v="1835602"/>
    <s v="Medium"/>
    <n v="669172"/>
    <b v="0"/>
    <s v="Partner_API"/>
    <x v="0"/>
  </r>
  <r>
    <s v="RD-0271"/>
    <x v="201"/>
    <x v="1"/>
    <x v="1"/>
    <s v="PNG"/>
    <s v="Independent_Creator"/>
    <x v="4"/>
    <n v="71.7"/>
    <x v="2"/>
    <n v="95"/>
    <x v="1"/>
    <x v="1"/>
    <s v="AI Generated"/>
    <n v="0.84399999999999997"/>
    <s v="No"/>
    <n v="499691"/>
    <s v="Low"/>
    <n v="735774"/>
    <b v="0"/>
    <s v="Human_Reviewer"/>
    <x v="2"/>
  </r>
  <r>
    <s v="RD-0272"/>
    <x v="202"/>
    <x v="6"/>
    <x v="0"/>
    <s v="WAV"/>
    <s v="News_Outlet"/>
    <x v="4"/>
    <n v="70.5"/>
    <x v="2"/>
    <n v="82.4"/>
    <x v="1"/>
    <x v="1"/>
    <s v="AI Generated"/>
    <n v="0.58599999999999997"/>
    <s v="No"/>
    <n v="2531489"/>
    <s v="Medium"/>
    <n v="10825267"/>
    <s v="Highly Viral"/>
    <s v="Human_Reviewer"/>
    <x v="2"/>
  </r>
  <r>
    <s v="RD-0273"/>
    <x v="24"/>
    <x v="7"/>
    <x v="3"/>
    <s v="WAV"/>
    <s v="Independent_Creator"/>
    <x v="3"/>
    <n v="96.9"/>
    <x v="2"/>
    <n v="84"/>
    <x v="1"/>
    <x v="1"/>
    <s v="AI Generated"/>
    <n v="0.92900000000000005"/>
    <s v="No"/>
    <n v="1872749"/>
    <s v="Medium"/>
    <n v="19762387"/>
    <s v="Highly Viral"/>
    <s v="Human_Reviewer"/>
    <x v="2"/>
  </r>
  <r>
    <s v="RD-0274"/>
    <x v="203"/>
    <x v="2"/>
    <x v="1"/>
    <s v="MP3"/>
    <s v="Independent_Creator"/>
    <x v="3"/>
    <n v="0.2"/>
    <x v="0"/>
    <n v="84.4"/>
    <x v="1"/>
    <x v="0"/>
    <s v="Human Content"/>
    <n v="0.57299999999999995"/>
    <s v="Partial"/>
    <n v="271746"/>
    <s v="Low"/>
    <n v="6110149"/>
    <s v="Highly Viral"/>
    <s v="Partner_API"/>
    <x v="0"/>
  </r>
  <r>
    <s v="RD-0275"/>
    <x v="136"/>
    <x v="4"/>
    <x v="4"/>
    <s v="MP4"/>
    <s v="Anonymous"/>
    <x v="0"/>
    <n v="33.1"/>
    <x v="1"/>
    <n v="53.8"/>
    <x v="0"/>
    <x v="0"/>
    <s v="Human Content"/>
    <n v="0.34699999999999998"/>
    <s v="No"/>
    <n v="1408441"/>
    <s v="Medium"/>
    <n v="2977650"/>
    <s v="Moderately Viral"/>
    <s v="Community_Report"/>
    <x v="0"/>
  </r>
  <r>
    <s v="RD-0276"/>
    <x v="204"/>
    <x v="1"/>
    <x v="1"/>
    <s v="PNG"/>
    <s v="Independent_Creator"/>
    <x v="3"/>
    <n v="6.8"/>
    <x v="0"/>
    <n v="62.6"/>
    <x v="0"/>
    <x v="0"/>
    <s v="Human Content"/>
    <n v="0.108"/>
    <s v="Yes"/>
    <n v="403990"/>
    <s v="Low"/>
    <n v="12950400"/>
    <s v="Highly Viral"/>
    <s v="Automated_System"/>
    <x v="0"/>
  </r>
  <r>
    <s v="RD-0277"/>
    <x v="205"/>
    <x v="6"/>
    <x v="3"/>
    <s v="WEBM"/>
    <s v="Anonymous"/>
    <x v="4"/>
    <n v="54.6"/>
    <x v="1"/>
    <n v="55"/>
    <x v="0"/>
    <x v="2"/>
    <s v="Human Content"/>
    <n v="0.47899999999999998"/>
    <s v="Partial"/>
    <n v="1892425"/>
    <s v="Medium"/>
    <n v="5458346"/>
    <s v="Highly Viral"/>
    <s v="Automated_System"/>
    <x v="1"/>
  </r>
  <r>
    <s v="RD-0278"/>
    <x v="23"/>
    <x v="1"/>
    <x v="1"/>
    <s v="JPEG"/>
    <s v="Bot_Network"/>
    <x v="4"/>
    <n v="95.2"/>
    <x v="2"/>
    <n v="53.6"/>
    <x v="0"/>
    <x v="1"/>
    <s v="AI Generated"/>
    <n v="0.17"/>
    <s v="No"/>
    <n v="1349864"/>
    <s v="Medium"/>
    <n v="2517163"/>
    <s v="Moderately Viral"/>
    <s v="Partner_API"/>
    <x v="2"/>
  </r>
  <r>
    <s v="RD-0279"/>
    <x v="51"/>
    <x v="3"/>
    <x v="4"/>
    <s v="WEBM"/>
    <s v="Celebrity"/>
    <x v="5"/>
    <n v="43.1"/>
    <x v="1"/>
    <n v="82"/>
    <x v="1"/>
    <x v="2"/>
    <s v="Human Content"/>
    <n v="0.60699999999999998"/>
    <s v="No"/>
    <n v="1317982"/>
    <s v="Medium"/>
    <n v="1797532"/>
    <s v="Moderately Viral"/>
    <s v="AI_Model"/>
    <x v="1"/>
  </r>
  <r>
    <s v="RD-0280"/>
    <x v="32"/>
    <x v="4"/>
    <x v="2"/>
    <s v="PDF"/>
    <s v="Celebrity"/>
    <x v="1"/>
    <n v="72.2"/>
    <x v="2"/>
    <n v="85.8"/>
    <x v="1"/>
    <x v="1"/>
    <s v="AI Generated"/>
    <n v="0.26500000000000001"/>
    <s v="No"/>
    <n v="2494877"/>
    <s v="Medium"/>
    <n v="7971297"/>
    <s v="Highly Viral"/>
    <s v="AI_Model"/>
    <x v="2"/>
  </r>
  <r>
    <s v="RD-0281"/>
    <x v="94"/>
    <x v="7"/>
    <x v="4"/>
    <s v="WEBM"/>
    <s v="Independent_Creator"/>
    <x v="5"/>
    <n v="36.1"/>
    <x v="1"/>
    <n v="71"/>
    <x v="1"/>
    <x v="2"/>
    <s v="Human Content"/>
    <n v="0.29499999999999998"/>
    <s v="Partial"/>
    <n v="4029386"/>
    <s v="High"/>
    <n v="6700474"/>
    <s v="Highly Viral"/>
    <s v="AI_Model"/>
    <x v="1"/>
  </r>
  <r>
    <s v="RD-0282"/>
    <x v="47"/>
    <x v="4"/>
    <x v="2"/>
    <s v="GIF"/>
    <s v="News_Outlet"/>
    <x v="2"/>
    <n v="84.4"/>
    <x v="2"/>
    <n v="65.099999999999994"/>
    <x v="0"/>
    <x v="1"/>
    <s v="AI Generated"/>
    <n v="0.39700000000000002"/>
    <s v="No"/>
    <n v="2223118"/>
    <s v="Medium"/>
    <n v="3058546"/>
    <s v="Moderately Viral"/>
    <s v="Partner_API"/>
    <x v="2"/>
  </r>
  <r>
    <s v="RD-0283"/>
    <x v="81"/>
    <x v="6"/>
    <x v="1"/>
    <s v="PDF"/>
    <s v="Bot_Network"/>
    <x v="0"/>
    <n v="44.6"/>
    <x v="1"/>
    <n v="62.9"/>
    <x v="0"/>
    <x v="2"/>
    <s v="Human Content"/>
    <n v="0.46500000000000002"/>
    <s v="Yes"/>
    <n v="2252961"/>
    <s v="Medium"/>
    <n v="18933473"/>
    <s v="Highly Viral"/>
    <s v="AI_Model"/>
    <x v="1"/>
  </r>
  <r>
    <s v="RD-0284"/>
    <x v="206"/>
    <x v="0"/>
    <x v="0"/>
    <s v="WAV"/>
    <s v="Verified_Org"/>
    <x v="2"/>
    <n v="97.1"/>
    <x v="2"/>
    <n v="78.900000000000006"/>
    <x v="1"/>
    <x v="1"/>
    <s v="AI Generated"/>
    <n v="0.55400000000000005"/>
    <s v="No"/>
    <n v="4383837"/>
    <s v="High"/>
    <n v="14047461"/>
    <s v="Highly Viral"/>
    <s v="Partner_API"/>
    <x v="2"/>
  </r>
  <r>
    <s v="RD-0285"/>
    <x v="89"/>
    <x v="5"/>
    <x v="4"/>
    <s v="PNG"/>
    <s v="Anonymous"/>
    <x v="4"/>
    <n v="7.9"/>
    <x v="0"/>
    <n v="94.2"/>
    <x v="1"/>
    <x v="0"/>
    <s v="Human Content"/>
    <n v="0.71399999999999997"/>
    <s v="Partial"/>
    <n v="4791840"/>
    <s v="High"/>
    <n v="17342014"/>
    <s v="Highly Viral"/>
    <s v="Partner_API"/>
    <x v="0"/>
  </r>
  <r>
    <s v="RD-0286"/>
    <x v="79"/>
    <x v="6"/>
    <x v="0"/>
    <s v="WEBM"/>
    <s v="Independent_Creator"/>
    <x v="0"/>
    <n v="97.2"/>
    <x v="2"/>
    <n v="89.6"/>
    <x v="1"/>
    <x v="1"/>
    <s v="AI Generated"/>
    <n v="0.126"/>
    <s v="No"/>
    <n v="657502"/>
    <s v="Low"/>
    <n v="14609873"/>
    <s v="Highly Viral"/>
    <s v="Human_Reviewer"/>
    <x v="2"/>
  </r>
  <r>
    <s v="RD-0287"/>
    <x v="183"/>
    <x v="6"/>
    <x v="4"/>
    <s v="GIF"/>
    <s v="Bot_Network"/>
    <x v="3"/>
    <n v="91.4"/>
    <x v="2"/>
    <n v="53.3"/>
    <x v="0"/>
    <x v="1"/>
    <s v="AI Generated"/>
    <n v="0.38800000000000001"/>
    <s v="No"/>
    <n v="4631066"/>
    <s v="High"/>
    <n v="10943499"/>
    <s v="Highly Viral"/>
    <s v="Community_Report"/>
    <x v="2"/>
  </r>
  <r>
    <s v="RD-0288"/>
    <x v="195"/>
    <x v="5"/>
    <x v="0"/>
    <s v="PDF"/>
    <s v="News_Outlet"/>
    <x v="2"/>
    <n v="15"/>
    <x v="0"/>
    <n v="77.8"/>
    <x v="1"/>
    <x v="0"/>
    <s v="Human Content"/>
    <n v="0.58299999999999996"/>
    <s v="Yes"/>
    <n v="886229"/>
    <s v="Low"/>
    <n v="18881033"/>
    <s v="Highly Viral"/>
    <s v="AI_Model"/>
    <x v="0"/>
  </r>
  <r>
    <s v="RD-0289"/>
    <x v="140"/>
    <x v="3"/>
    <x v="3"/>
    <s v="GIF"/>
    <s v="Anonymous"/>
    <x v="3"/>
    <n v="48.6"/>
    <x v="1"/>
    <n v="79.8"/>
    <x v="1"/>
    <x v="2"/>
    <s v="Human Content"/>
    <n v="3.6999999999999998E-2"/>
    <s v="No"/>
    <n v="3380490"/>
    <s v="Medium"/>
    <n v="4827394"/>
    <s v="Moderately Viral"/>
    <s v="Partner_API"/>
    <x v="1"/>
  </r>
  <r>
    <s v="RD-0290"/>
    <x v="207"/>
    <x v="7"/>
    <x v="0"/>
    <s v="PDF"/>
    <s v="Bot_Network"/>
    <x v="3"/>
    <n v="23.8"/>
    <x v="0"/>
    <n v="86.5"/>
    <x v="1"/>
    <x v="0"/>
    <s v="Human Content"/>
    <n v="0.92100000000000004"/>
    <s v="No"/>
    <n v="169825"/>
    <s v="Low"/>
    <n v="11337404"/>
    <s v="Highly Viral"/>
    <s v="Community_Report"/>
    <x v="0"/>
  </r>
  <r>
    <s v="RD-0291"/>
    <x v="91"/>
    <x v="2"/>
    <x v="3"/>
    <s v="MP4"/>
    <s v="Independent_Creator"/>
    <x v="0"/>
    <n v="30"/>
    <x v="3"/>
    <n v="86.4"/>
    <x v="1"/>
    <x v="0"/>
    <s v="Human Content"/>
    <n v="0.77400000000000002"/>
    <s v="No"/>
    <n v="2260158"/>
    <s v="Medium"/>
    <n v="13985072"/>
    <s v="Highly Viral"/>
    <s v="Partner_API"/>
    <x v="0"/>
  </r>
  <r>
    <s v="RD-0292"/>
    <x v="102"/>
    <x v="0"/>
    <x v="2"/>
    <s v="WEBM"/>
    <s v="Independent_Creator"/>
    <x v="6"/>
    <n v="40.700000000000003"/>
    <x v="1"/>
    <n v="73.7"/>
    <x v="1"/>
    <x v="2"/>
    <s v="Human Content"/>
    <n v="0.51700000000000002"/>
    <s v="No"/>
    <n v="471588"/>
    <s v="Low"/>
    <n v="17290082"/>
    <s v="Highly Viral"/>
    <s v="Human_Reviewer"/>
    <x v="1"/>
  </r>
  <r>
    <s v="RD-0293"/>
    <x v="208"/>
    <x v="2"/>
    <x v="4"/>
    <s v="PDF"/>
    <s v="Independent_Creator"/>
    <x v="6"/>
    <n v="85.1"/>
    <x v="2"/>
    <n v="93.1"/>
    <x v="1"/>
    <x v="1"/>
    <s v="AI Generated"/>
    <n v="2.9000000000000001E-2"/>
    <s v="Yes"/>
    <n v="1683918"/>
    <s v="Medium"/>
    <n v="1934158"/>
    <s v="Moderately Viral"/>
    <s v="Human_Reviewer"/>
    <x v="2"/>
  </r>
  <r>
    <s v="RD-0294"/>
    <x v="1"/>
    <x v="5"/>
    <x v="0"/>
    <s v="WAV"/>
    <s v="Celebrity"/>
    <x v="0"/>
    <n v="27.4"/>
    <x v="0"/>
    <n v="90.4"/>
    <x v="1"/>
    <x v="0"/>
    <s v="Human Content"/>
    <n v="0.505"/>
    <s v="Partial"/>
    <n v="1039220"/>
    <s v="Medium"/>
    <n v="1026030"/>
    <s v="Moderately Viral"/>
    <s v="Human_Reviewer"/>
    <x v="0"/>
  </r>
  <r>
    <s v="RD-0295"/>
    <x v="198"/>
    <x v="5"/>
    <x v="4"/>
    <s v="WEBM"/>
    <s v="Independent_Creator"/>
    <x v="6"/>
    <n v="47.5"/>
    <x v="1"/>
    <n v="77"/>
    <x v="1"/>
    <x v="2"/>
    <s v="Human Content"/>
    <n v="0.34399999999999997"/>
    <s v="No"/>
    <n v="758362"/>
    <s v="Low"/>
    <n v="9565841"/>
    <s v="Highly Viral"/>
    <s v="AI_Model"/>
    <x v="1"/>
  </r>
  <r>
    <s v="RD-0296"/>
    <x v="209"/>
    <x v="1"/>
    <x v="2"/>
    <s v="PNG"/>
    <s v="Independent_Creator"/>
    <x v="3"/>
    <n v="22.5"/>
    <x v="0"/>
    <n v="60.1"/>
    <x v="0"/>
    <x v="0"/>
    <s v="Human Content"/>
    <n v="0.65200000000000002"/>
    <s v="Partial"/>
    <n v="168311"/>
    <s v="Low"/>
    <n v="299066"/>
    <s v="Low Viral"/>
    <s v="Automated_System"/>
    <x v="0"/>
  </r>
  <r>
    <s v="RD-0297"/>
    <x v="64"/>
    <x v="6"/>
    <x v="4"/>
    <s v="JPEG"/>
    <s v="Independent_Creator"/>
    <x v="4"/>
    <n v="60.8"/>
    <x v="1"/>
    <n v="96.2"/>
    <x v="1"/>
    <x v="1"/>
    <s v="AI Generated"/>
    <n v="0.71299999999999997"/>
    <s v="Partial"/>
    <n v="2310142"/>
    <s v="Medium"/>
    <n v="14221096"/>
    <s v="Highly Viral"/>
    <s v="Automated_System"/>
    <x v="1"/>
  </r>
  <r>
    <s v="RD-0298"/>
    <x v="210"/>
    <x v="5"/>
    <x v="1"/>
    <s v="PNG"/>
    <s v="Anonymous"/>
    <x v="4"/>
    <n v="67.7"/>
    <x v="1"/>
    <n v="90.4"/>
    <x v="1"/>
    <x v="1"/>
    <s v="AI Generated"/>
    <n v="0.39700000000000002"/>
    <s v="Yes"/>
    <n v="61735"/>
    <s v="Low"/>
    <n v="17164052"/>
    <s v="Highly Viral"/>
    <s v="Community_Report"/>
    <x v="2"/>
  </r>
  <r>
    <s v="RD-0299"/>
    <x v="90"/>
    <x v="2"/>
    <x v="1"/>
    <s v="MP4"/>
    <s v="Anonymous"/>
    <x v="5"/>
    <n v="33.6"/>
    <x v="1"/>
    <n v="63.5"/>
    <x v="0"/>
    <x v="0"/>
    <s v="Human Content"/>
    <n v="0.32500000000000001"/>
    <s v="No"/>
    <n v="2190759"/>
    <s v="Medium"/>
    <n v="10026266"/>
    <s v="Highly Viral"/>
    <s v="Human_Reviewer"/>
    <x v="0"/>
  </r>
  <r>
    <s v="RD-0300"/>
    <x v="104"/>
    <x v="4"/>
    <x v="0"/>
    <s v="PDF"/>
    <s v="Celebrity"/>
    <x v="4"/>
    <n v="68.099999999999994"/>
    <x v="1"/>
    <n v="85.3"/>
    <x v="1"/>
    <x v="1"/>
    <s v="AI Generated"/>
    <n v="0.65500000000000003"/>
    <s v="No"/>
    <n v="2176325"/>
    <s v="Medium"/>
    <n v="14045233"/>
    <s v="Highly Viral"/>
    <s v="Automated_System"/>
    <x v="2"/>
  </r>
  <r>
    <s v="RD-0301"/>
    <x v="81"/>
    <x v="1"/>
    <x v="4"/>
    <s v="PNG"/>
    <s v="Bot_Network"/>
    <x v="3"/>
    <n v="71.3"/>
    <x v="2"/>
    <n v="83.6"/>
    <x v="1"/>
    <x v="1"/>
    <s v="AI Generated"/>
    <n v="0.63800000000000001"/>
    <s v="No"/>
    <n v="3007391"/>
    <s v="Medium"/>
    <n v="17023161"/>
    <s v="Highly Viral"/>
    <s v="Community_Report"/>
    <x v="2"/>
  </r>
  <r>
    <s v="RD-0302"/>
    <x v="211"/>
    <x v="6"/>
    <x v="1"/>
    <s v="MP4"/>
    <s v="Anonymous"/>
    <x v="0"/>
    <n v="74.099999999999994"/>
    <x v="2"/>
    <n v="85.5"/>
    <x v="1"/>
    <x v="1"/>
    <s v="AI Generated"/>
    <n v="0.55900000000000005"/>
    <s v="Yes"/>
    <n v="2815589"/>
    <s v="Medium"/>
    <n v="2996904"/>
    <s v="Moderately Viral"/>
    <s v="Human_Reviewer"/>
    <x v="2"/>
  </r>
  <r>
    <s v="RD-0303"/>
    <x v="29"/>
    <x v="4"/>
    <x v="1"/>
    <s v="PDF"/>
    <s v="Bot_Network"/>
    <x v="4"/>
    <n v="26.1"/>
    <x v="0"/>
    <n v="64.400000000000006"/>
    <x v="0"/>
    <x v="0"/>
    <s v="Human Content"/>
    <n v="0.85099999999999998"/>
    <s v="No"/>
    <n v="450374"/>
    <s v="Low"/>
    <n v="19582014"/>
    <s v="Highly Viral"/>
    <s v="Partner_API"/>
    <x v="0"/>
  </r>
  <r>
    <s v="RD-0304"/>
    <x v="22"/>
    <x v="0"/>
    <x v="3"/>
    <s v="PNG"/>
    <s v="Verified_Org"/>
    <x v="5"/>
    <n v="86.7"/>
    <x v="2"/>
    <n v="68.7"/>
    <x v="0"/>
    <x v="1"/>
    <s v="AI Generated"/>
    <n v="0.29799999999999999"/>
    <s v="Yes"/>
    <n v="1264921"/>
    <s v="Medium"/>
    <n v="4609713"/>
    <s v="Moderately Viral"/>
    <s v="Human_Reviewer"/>
    <x v="2"/>
  </r>
  <r>
    <s v="RD-0305"/>
    <x v="172"/>
    <x v="7"/>
    <x v="4"/>
    <s v="WEBM"/>
    <s v="Independent_Creator"/>
    <x v="4"/>
    <n v="86.2"/>
    <x v="2"/>
    <n v="58.8"/>
    <x v="0"/>
    <x v="1"/>
    <s v="AI Generated"/>
    <n v="8.1000000000000003E-2"/>
    <s v="No"/>
    <n v="1483409"/>
    <s v="Medium"/>
    <n v="10516931"/>
    <s v="Highly Viral"/>
    <s v="AI_Model"/>
    <x v="2"/>
  </r>
  <r>
    <s v="RD-0306"/>
    <x v="212"/>
    <x v="5"/>
    <x v="1"/>
    <s v="PNG"/>
    <s v="Independent_Creator"/>
    <x v="1"/>
    <n v="76.400000000000006"/>
    <x v="2"/>
    <n v="74"/>
    <x v="1"/>
    <x v="1"/>
    <s v="AI Generated"/>
    <n v="0.76400000000000001"/>
    <s v="Yes"/>
    <n v="1085635"/>
    <s v="Medium"/>
    <n v="14553440"/>
    <s v="Highly Viral"/>
    <s v="Automated_System"/>
    <x v="2"/>
  </r>
  <r>
    <s v="RD-0307"/>
    <x v="213"/>
    <x v="7"/>
    <x v="3"/>
    <s v="PDF"/>
    <s v="News_Outlet"/>
    <x v="5"/>
    <n v="53.4"/>
    <x v="1"/>
    <n v="85.8"/>
    <x v="1"/>
    <x v="2"/>
    <s v="Human Content"/>
    <n v="0.95"/>
    <s v="No"/>
    <n v="4454734"/>
    <s v="High"/>
    <n v="6395193"/>
    <s v="Highly Viral"/>
    <s v="AI_Model"/>
    <x v="1"/>
  </r>
  <r>
    <s v="RD-0308"/>
    <x v="79"/>
    <x v="1"/>
    <x v="2"/>
    <s v="PNG"/>
    <s v="Celebrity"/>
    <x v="4"/>
    <n v="31.2"/>
    <x v="1"/>
    <n v="55"/>
    <x v="0"/>
    <x v="0"/>
    <s v="Human Content"/>
    <n v="0.503"/>
    <s v="No"/>
    <n v="1401166"/>
    <s v="Medium"/>
    <n v="2191168"/>
    <s v="Moderately Viral"/>
    <s v="AI_Model"/>
    <x v="0"/>
  </r>
  <r>
    <s v="RD-0309"/>
    <x v="181"/>
    <x v="2"/>
    <x v="3"/>
    <s v="WAV"/>
    <s v="Anonymous"/>
    <x v="3"/>
    <n v="99.5"/>
    <x v="2"/>
    <n v="66.8"/>
    <x v="0"/>
    <x v="1"/>
    <s v="AI Generated"/>
    <n v="0.90100000000000002"/>
    <s v="No"/>
    <n v="1580732"/>
    <s v="Medium"/>
    <n v="5533072"/>
    <s v="Highly Viral"/>
    <s v="Automated_System"/>
    <x v="2"/>
  </r>
  <r>
    <s v="RD-0310"/>
    <x v="12"/>
    <x v="4"/>
    <x v="2"/>
    <s v="MP3"/>
    <s v="Independent_Creator"/>
    <x v="3"/>
    <n v="2.2000000000000002"/>
    <x v="0"/>
    <n v="74.7"/>
    <x v="1"/>
    <x v="0"/>
    <s v="Human Content"/>
    <n v="0.123"/>
    <s v="Partial"/>
    <n v="313527"/>
    <s v="Low"/>
    <n v="12589868"/>
    <s v="Highly Viral"/>
    <s v="Community_Report"/>
    <x v="0"/>
  </r>
  <r>
    <s v="RD-0311"/>
    <x v="214"/>
    <x v="1"/>
    <x v="4"/>
    <s v="JPEG"/>
    <s v="Celebrity"/>
    <x v="5"/>
    <n v="65.400000000000006"/>
    <x v="1"/>
    <n v="51"/>
    <x v="0"/>
    <x v="1"/>
    <s v="AI Generated"/>
    <n v="0.69"/>
    <s v="No"/>
    <n v="3727278"/>
    <s v="Medium"/>
    <n v="12759699"/>
    <s v="Highly Viral"/>
    <s v="AI_Model"/>
    <x v="2"/>
  </r>
  <r>
    <s v="RD-0312"/>
    <x v="36"/>
    <x v="2"/>
    <x v="3"/>
    <s v="MP3"/>
    <s v="Independent_Creator"/>
    <x v="3"/>
    <n v="68.599999999999994"/>
    <x v="1"/>
    <n v="50.5"/>
    <x v="0"/>
    <x v="1"/>
    <s v="AI Generated"/>
    <n v="0.42099999999999999"/>
    <s v="Yes"/>
    <n v="4364770"/>
    <s v="High"/>
    <n v="9059429"/>
    <s v="Highly Viral"/>
    <s v="Partner_API"/>
    <x v="2"/>
  </r>
  <r>
    <s v="RD-0313"/>
    <x v="33"/>
    <x v="6"/>
    <x v="3"/>
    <s v="MP4"/>
    <s v="Verified_Org"/>
    <x v="3"/>
    <n v="61.8"/>
    <x v="1"/>
    <n v="63.9"/>
    <x v="0"/>
    <x v="1"/>
    <s v="AI Generated"/>
    <n v="0.78500000000000003"/>
    <s v="No"/>
    <n v="1666468"/>
    <s v="Medium"/>
    <n v="6702977"/>
    <s v="Highly Viral"/>
    <s v="Community_Report"/>
    <x v="1"/>
  </r>
  <r>
    <s v="RD-0314"/>
    <x v="215"/>
    <x v="4"/>
    <x v="1"/>
    <s v="PDF"/>
    <s v="Bot_Network"/>
    <x v="0"/>
    <n v="3.9"/>
    <x v="0"/>
    <n v="74.3"/>
    <x v="1"/>
    <x v="0"/>
    <s v="Human Content"/>
    <n v="0.20799999999999999"/>
    <s v="No"/>
    <n v="2773404"/>
    <s v="Medium"/>
    <n v="7869191"/>
    <s v="Highly Viral"/>
    <s v="AI_Model"/>
    <x v="0"/>
  </r>
  <r>
    <s v="RD-0315"/>
    <x v="216"/>
    <x v="0"/>
    <x v="0"/>
    <s v="WEBM"/>
    <s v="Independent_Creator"/>
    <x v="5"/>
    <n v="78"/>
    <x v="2"/>
    <n v="53.7"/>
    <x v="0"/>
    <x v="1"/>
    <s v="AI Generated"/>
    <n v="0.72399999999999998"/>
    <s v="No"/>
    <n v="1939213"/>
    <s v="Medium"/>
    <n v="15326528"/>
    <s v="Highly Viral"/>
    <s v="Community_Report"/>
    <x v="2"/>
  </r>
  <r>
    <s v="RD-0316"/>
    <x v="69"/>
    <x v="5"/>
    <x v="0"/>
    <s v="MP4"/>
    <s v="Independent_Creator"/>
    <x v="6"/>
    <n v="3.9"/>
    <x v="0"/>
    <n v="64.2"/>
    <x v="0"/>
    <x v="0"/>
    <s v="Human Content"/>
    <n v="0.80200000000000005"/>
    <s v="No"/>
    <n v="3573606"/>
    <s v="Medium"/>
    <n v="3889494"/>
    <s v="Moderately Viral"/>
    <s v="AI_Model"/>
    <x v="0"/>
  </r>
  <r>
    <s v="RD-0317"/>
    <x v="53"/>
    <x v="1"/>
    <x v="2"/>
    <s v="MP3"/>
    <s v="Bot_Network"/>
    <x v="4"/>
    <n v="89.5"/>
    <x v="2"/>
    <n v="96.8"/>
    <x v="1"/>
    <x v="1"/>
    <s v="AI Generated"/>
    <n v="0.26800000000000002"/>
    <s v="Partial"/>
    <n v="779832"/>
    <s v="Low"/>
    <n v="12503624"/>
    <s v="Highly Viral"/>
    <s v="Community_Report"/>
    <x v="2"/>
  </r>
  <r>
    <s v="RD-0318"/>
    <x v="217"/>
    <x v="0"/>
    <x v="3"/>
    <s v="PDF"/>
    <s v="Anonymous"/>
    <x v="4"/>
    <n v="83.6"/>
    <x v="2"/>
    <n v="83.8"/>
    <x v="1"/>
    <x v="1"/>
    <s v="AI Generated"/>
    <n v="0.47799999999999998"/>
    <s v="No"/>
    <n v="1399141"/>
    <s v="Medium"/>
    <n v="3794048"/>
    <s v="Moderately Viral"/>
    <s v="Human_Reviewer"/>
    <x v="2"/>
  </r>
  <r>
    <s v="RD-0319"/>
    <x v="35"/>
    <x v="1"/>
    <x v="2"/>
    <s v="MP4"/>
    <s v="Anonymous"/>
    <x v="1"/>
    <n v="48.3"/>
    <x v="1"/>
    <n v="77.900000000000006"/>
    <x v="1"/>
    <x v="2"/>
    <s v="Human Content"/>
    <n v="0.438"/>
    <s v="Partial"/>
    <n v="3185680"/>
    <s v="Medium"/>
    <n v="12033082"/>
    <s v="Highly Viral"/>
    <s v="Partner_API"/>
    <x v="1"/>
  </r>
  <r>
    <s v="RD-0320"/>
    <x v="126"/>
    <x v="6"/>
    <x v="3"/>
    <s v="WEBM"/>
    <s v="News_Outlet"/>
    <x v="2"/>
    <n v="44.1"/>
    <x v="1"/>
    <n v="53.1"/>
    <x v="0"/>
    <x v="2"/>
    <s v="Human Content"/>
    <n v="0.65500000000000003"/>
    <s v="Yes"/>
    <n v="4402591"/>
    <s v="High"/>
    <n v="19349629"/>
    <s v="Highly Viral"/>
    <s v="Partner_API"/>
    <x v="1"/>
  </r>
  <r>
    <s v="RD-0321"/>
    <x v="218"/>
    <x v="3"/>
    <x v="4"/>
    <s v="MP4"/>
    <s v="Anonymous"/>
    <x v="3"/>
    <n v="72.7"/>
    <x v="2"/>
    <n v="73.599999999999994"/>
    <x v="1"/>
    <x v="1"/>
    <s v="AI Generated"/>
    <n v="0.66400000000000003"/>
    <s v="Partial"/>
    <n v="3228679"/>
    <s v="Medium"/>
    <n v="4988515"/>
    <s v="Moderately Viral"/>
    <s v="Partner_API"/>
    <x v="2"/>
  </r>
  <r>
    <s v="RD-0322"/>
    <x v="39"/>
    <x v="1"/>
    <x v="0"/>
    <s v="MP3"/>
    <s v="Verified_Org"/>
    <x v="6"/>
    <n v="46.9"/>
    <x v="1"/>
    <n v="74.3"/>
    <x v="1"/>
    <x v="2"/>
    <s v="Human Content"/>
    <n v="0.16500000000000001"/>
    <s v="No"/>
    <n v="2689771"/>
    <s v="Medium"/>
    <n v="8083488"/>
    <s v="Highly Viral"/>
    <s v="Community_Report"/>
    <x v="1"/>
  </r>
  <r>
    <s v="RD-0323"/>
    <x v="219"/>
    <x v="1"/>
    <x v="4"/>
    <s v="PNG"/>
    <s v="Verified_Org"/>
    <x v="3"/>
    <n v="37.9"/>
    <x v="1"/>
    <n v="90"/>
    <x v="1"/>
    <x v="2"/>
    <s v="Human Content"/>
    <n v="7.9000000000000001E-2"/>
    <s v="No"/>
    <n v="4807065"/>
    <s v="High"/>
    <n v="15036193"/>
    <s v="Highly Viral"/>
    <s v="AI_Model"/>
    <x v="1"/>
  </r>
  <r>
    <s v="RD-0324"/>
    <x v="220"/>
    <x v="5"/>
    <x v="1"/>
    <s v="MP4"/>
    <s v="Anonymous"/>
    <x v="3"/>
    <n v="65.3"/>
    <x v="1"/>
    <n v="55"/>
    <x v="0"/>
    <x v="1"/>
    <s v="AI Generated"/>
    <n v="0.41199999999999998"/>
    <s v="Partial"/>
    <n v="4606274"/>
    <s v="High"/>
    <n v="6194"/>
    <s v="Low Viral"/>
    <s v="AI_Model"/>
    <x v="2"/>
  </r>
  <r>
    <s v="RD-0325"/>
    <x v="221"/>
    <x v="2"/>
    <x v="4"/>
    <s v="PNG"/>
    <s v="Celebrity"/>
    <x v="3"/>
    <n v="45.6"/>
    <x v="1"/>
    <n v="66.7"/>
    <x v="0"/>
    <x v="2"/>
    <s v="Human Content"/>
    <n v="0.82499999999999996"/>
    <s v="Yes"/>
    <n v="3812386"/>
    <s v="Medium"/>
    <n v="11139652"/>
    <s v="Highly Viral"/>
    <s v="Partner_API"/>
    <x v="1"/>
  </r>
  <r>
    <s v="RD-0326"/>
    <x v="22"/>
    <x v="5"/>
    <x v="1"/>
    <s v="WEBM"/>
    <s v="News_Outlet"/>
    <x v="5"/>
    <n v="75.900000000000006"/>
    <x v="2"/>
    <n v="60.9"/>
    <x v="0"/>
    <x v="1"/>
    <s v="AI Generated"/>
    <n v="0.34100000000000003"/>
    <s v="Partial"/>
    <n v="2449435"/>
    <s v="Medium"/>
    <n v="18377946"/>
    <s v="Highly Viral"/>
    <s v="Partner_API"/>
    <x v="2"/>
  </r>
  <r>
    <s v="RD-0327"/>
    <x v="110"/>
    <x v="0"/>
    <x v="0"/>
    <s v="MP3"/>
    <s v="Anonymous"/>
    <x v="0"/>
    <n v="82.2"/>
    <x v="2"/>
    <n v="86.4"/>
    <x v="1"/>
    <x v="1"/>
    <s v="AI Generated"/>
    <n v="0.40899999999999997"/>
    <s v="No"/>
    <n v="1643608"/>
    <s v="Medium"/>
    <n v="6293412"/>
    <s v="Highly Viral"/>
    <s v="AI_Model"/>
    <x v="2"/>
  </r>
  <r>
    <s v="RD-0328"/>
    <x v="222"/>
    <x v="4"/>
    <x v="3"/>
    <s v="PNG"/>
    <s v="Celebrity"/>
    <x v="4"/>
    <n v="10.8"/>
    <x v="0"/>
    <n v="70.3"/>
    <x v="1"/>
    <x v="0"/>
    <s v="Human Content"/>
    <n v="0.92700000000000005"/>
    <s v="Partial"/>
    <n v="4939405"/>
    <s v="High"/>
    <n v="4135049"/>
    <s v="Moderately Viral"/>
    <s v="Automated_System"/>
    <x v="0"/>
  </r>
  <r>
    <s v="RD-0329"/>
    <x v="223"/>
    <x v="6"/>
    <x v="3"/>
    <s v="JPEG"/>
    <s v="Verified_Org"/>
    <x v="3"/>
    <n v="4.9000000000000004"/>
    <x v="0"/>
    <n v="95.8"/>
    <x v="1"/>
    <x v="0"/>
    <s v="Human Content"/>
    <n v="0.83899999999999997"/>
    <s v="No"/>
    <n v="4264305"/>
    <s v="High"/>
    <n v="5946427"/>
    <s v="Highly Viral"/>
    <s v="Partner_API"/>
    <x v="0"/>
  </r>
  <r>
    <s v="RD-0330"/>
    <x v="224"/>
    <x v="6"/>
    <x v="0"/>
    <s v="PDF"/>
    <s v="Celebrity"/>
    <x v="1"/>
    <n v="60.6"/>
    <x v="1"/>
    <n v="65.8"/>
    <x v="0"/>
    <x v="1"/>
    <s v="AI Generated"/>
    <n v="0.88100000000000001"/>
    <s v="No"/>
    <n v="2082477"/>
    <s v="Medium"/>
    <n v="9180854"/>
    <s v="Highly Viral"/>
    <s v="Automated_System"/>
    <x v="1"/>
  </r>
  <r>
    <s v="RD-0331"/>
    <x v="172"/>
    <x v="2"/>
    <x v="3"/>
    <s v="MP3"/>
    <s v="Independent_Creator"/>
    <x v="2"/>
    <n v="60.3"/>
    <x v="1"/>
    <n v="93.4"/>
    <x v="1"/>
    <x v="1"/>
    <s v="AI Generated"/>
    <n v="0.51200000000000001"/>
    <s v="Partial"/>
    <n v="4595429"/>
    <s v="High"/>
    <n v="10533598"/>
    <s v="Highly Viral"/>
    <s v="Partner_API"/>
    <x v="1"/>
  </r>
  <r>
    <s v="RD-0332"/>
    <x v="111"/>
    <x v="4"/>
    <x v="2"/>
    <s v="PNG"/>
    <s v="Verified_Org"/>
    <x v="3"/>
    <n v="29.1"/>
    <x v="0"/>
    <n v="66.900000000000006"/>
    <x v="0"/>
    <x v="0"/>
    <s v="Human Content"/>
    <n v="0.67200000000000004"/>
    <s v="Partial"/>
    <n v="1491701"/>
    <s v="Medium"/>
    <n v="16908358"/>
    <s v="Highly Viral"/>
    <s v="Partner_API"/>
    <x v="0"/>
  </r>
  <r>
    <s v="RD-0333"/>
    <x v="71"/>
    <x v="3"/>
    <x v="0"/>
    <s v="WAV"/>
    <s v="Verified_Org"/>
    <x v="2"/>
    <n v="58.3"/>
    <x v="1"/>
    <n v="96.2"/>
    <x v="1"/>
    <x v="2"/>
    <s v="Human Content"/>
    <n v="0.71"/>
    <s v="Partial"/>
    <n v="4478801"/>
    <s v="High"/>
    <n v="9594650"/>
    <s v="Highly Viral"/>
    <s v="Automated_System"/>
    <x v="1"/>
  </r>
  <r>
    <s v="RD-0334"/>
    <x v="216"/>
    <x v="0"/>
    <x v="0"/>
    <s v="PDF"/>
    <s v="Independent_Creator"/>
    <x v="5"/>
    <n v="67"/>
    <x v="1"/>
    <n v="59.8"/>
    <x v="0"/>
    <x v="1"/>
    <s v="AI Generated"/>
    <n v="0.75"/>
    <s v="Yes"/>
    <n v="2404405"/>
    <s v="Medium"/>
    <n v="8407932"/>
    <s v="Highly Viral"/>
    <s v="Human_Reviewer"/>
    <x v="2"/>
  </r>
  <r>
    <s v="RD-0335"/>
    <x v="17"/>
    <x v="2"/>
    <x v="2"/>
    <s v="JPEG"/>
    <s v="Bot_Network"/>
    <x v="6"/>
    <n v="45.3"/>
    <x v="1"/>
    <n v="80.2"/>
    <x v="1"/>
    <x v="2"/>
    <s v="Human Content"/>
    <n v="0.67600000000000005"/>
    <s v="Partial"/>
    <n v="1881726"/>
    <s v="Medium"/>
    <n v="18833614"/>
    <s v="Highly Viral"/>
    <s v="Automated_System"/>
    <x v="1"/>
  </r>
  <r>
    <s v="RD-0336"/>
    <x v="225"/>
    <x v="2"/>
    <x v="0"/>
    <s v="PDF"/>
    <s v="Anonymous"/>
    <x v="2"/>
    <n v="95.7"/>
    <x v="2"/>
    <n v="97.8"/>
    <x v="1"/>
    <x v="1"/>
    <s v="AI Generated"/>
    <n v="0.313"/>
    <s v="Partial"/>
    <n v="451425"/>
    <s v="Low"/>
    <n v="435541"/>
    <s v="Low Viral"/>
    <s v="Community_Report"/>
    <x v="2"/>
  </r>
  <r>
    <s v="RD-0337"/>
    <x v="145"/>
    <x v="5"/>
    <x v="2"/>
    <s v="WAV"/>
    <s v="Verified_Org"/>
    <x v="1"/>
    <n v="73.8"/>
    <x v="2"/>
    <n v="59.6"/>
    <x v="0"/>
    <x v="1"/>
    <s v="AI Generated"/>
    <n v="0.72499999999999998"/>
    <s v="Yes"/>
    <n v="2467841"/>
    <s v="Medium"/>
    <n v="15060229"/>
    <s v="Highly Viral"/>
    <s v="Human_Reviewer"/>
    <x v="2"/>
  </r>
  <r>
    <s v="RD-0338"/>
    <x v="72"/>
    <x v="0"/>
    <x v="2"/>
    <s v="MP3"/>
    <s v="Celebrity"/>
    <x v="1"/>
    <n v="11.9"/>
    <x v="0"/>
    <n v="52"/>
    <x v="0"/>
    <x v="0"/>
    <s v="Human Content"/>
    <n v="0.27900000000000003"/>
    <s v="No"/>
    <n v="1091177"/>
    <s v="Medium"/>
    <n v="5400376"/>
    <s v="Highly Viral"/>
    <s v="Partner_API"/>
    <x v="0"/>
  </r>
  <r>
    <s v="RD-0339"/>
    <x v="226"/>
    <x v="1"/>
    <x v="1"/>
    <s v="WEBM"/>
    <s v="Celebrity"/>
    <x v="0"/>
    <n v="4"/>
    <x v="0"/>
    <n v="95.5"/>
    <x v="1"/>
    <x v="0"/>
    <s v="Human Content"/>
    <n v="0.59699999999999998"/>
    <s v="Partial"/>
    <n v="2526369"/>
    <s v="Medium"/>
    <n v="16460658"/>
    <s v="Highly Viral"/>
    <s v="Partner_API"/>
    <x v="0"/>
  </r>
  <r>
    <s v="RD-0340"/>
    <x v="227"/>
    <x v="3"/>
    <x v="0"/>
    <s v="WAV"/>
    <s v="Verified_Org"/>
    <x v="0"/>
    <n v="95.7"/>
    <x v="2"/>
    <n v="75.5"/>
    <x v="1"/>
    <x v="1"/>
    <s v="AI Generated"/>
    <n v="0.78600000000000003"/>
    <s v="Yes"/>
    <n v="3489184"/>
    <s v="Medium"/>
    <n v="18223246"/>
    <s v="Highly Viral"/>
    <s v="Partner_API"/>
    <x v="2"/>
  </r>
  <r>
    <s v="RD-0341"/>
    <x v="213"/>
    <x v="0"/>
    <x v="1"/>
    <s v="PNG"/>
    <s v="Independent_Creator"/>
    <x v="3"/>
    <n v="33.200000000000003"/>
    <x v="1"/>
    <n v="67.7"/>
    <x v="0"/>
    <x v="0"/>
    <s v="Human Content"/>
    <n v="0.218"/>
    <s v="Partial"/>
    <n v="4450247"/>
    <s v="High"/>
    <n v="15934063"/>
    <s v="Highly Viral"/>
    <s v="Partner_API"/>
    <x v="0"/>
  </r>
  <r>
    <s v="RD-0342"/>
    <x v="228"/>
    <x v="1"/>
    <x v="0"/>
    <s v="WAV"/>
    <s v="Anonymous"/>
    <x v="0"/>
    <n v="90.4"/>
    <x v="2"/>
    <n v="80.099999999999994"/>
    <x v="1"/>
    <x v="1"/>
    <s v="AI Generated"/>
    <n v="0.621"/>
    <s v="Yes"/>
    <n v="2692314"/>
    <s v="Medium"/>
    <n v="12797241"/>
    <s v="Highly Viral"/>
    <s v="AI_Model"/>
    <x v="2"/>
  </r>
  <r>
    <s v="RD-0343"/>
    <x v="209"/>
    <x v="2"/>
    <x v="4"/>
    <s v="GIF"/>
    <s v="News_Outlet"/>
    <x v="1"/>
    <n v="82.2"/>
    <x v="2"/>
    <n v="68.400000000000006"/>
    <x v="0"/>
    <x v="1"/>
    <s v="AI Generated"/>
    <n v="0.80300000000000005"/>
    <s v="No"/>
    <n v="4083713"/>
    <s v="High"/>
    <n v="1471917"/>
    <s v="Moderately Viral"/>
    <s v="Community_Report"/>
    <x v="2"/>
  </r>
  <r>
    <s v="RD-0344"/>
    <x v="229"/>
    <x v="4"/>
    <x v="1"/>
    <s v="MP4"/>
    <s v="News_Outlet"/>
    <x v="0"/>
    <n v="97.2"/>
    <x v="2"/>
    <n v="87.9"/>
    <x v="1"/>
    <x v="1"/>
    <s v="AI Generated"/>
    <n v="0.53300000000000003"/>
    <s v="Partial"/>
    <n v="549317"/>
    <s v="Low"/>
    <n v="7073152"/>
    <s v="Highly Viral"/>
    <s v="Human_Reviewer"/>
    <x v="2"/>
  </r>
  <r>
    <s v="RD-0345"/>
    <x v="230"/>
    <x v="7"/>
    <x v="0"/>
    <s v="PNG"/>
    <s v="Verified_Org"/>
    <x v="6"/>
    <n v="70.3"/>
    <x v="2"/>
    <n v="97.8"/>
    <x v="1"/>
    <x v="1"/>
    <s v="AI Generated"/>
    <n v="0.77500000000000002"/>
    <s v="Partial"/>
    <n v="605090"/>
    <s v="Low"/>
    <n v="5159647"/>
    <s v="Highly Viral"/>
    <s v="AI_Model"/>
    <x v="2"/>
  </r>
  <r>
    <s v="RD-0346"/>
    <x v="231"/>
    <x v="3"/>
    <x v="0"/>
    <s v="MP4"/>
    <s v="News_Outlet"/>
    <x v="5"/>
    <n v="17.8"/>
    <x v="0"/>
    <n v="62.3"/>
    <x v="0"/>
    <x v="0"/>
    <s v="Human Content"/>
    <n v="7.0000000000000007E-2"/>
    <s v="Yes"/>
    <n v="2169796"/>
    <s v="Medium"/>
    <n v="13678386"/>
    <s v="Highly Viral"/>
    <s v="Automated_System"/>
    <x v="0"/>
  </r>
  <r>
    <s v="RD-0347"/>
    <x v="56"/>
    <x v="7"/>
    <x v="3"/>
    <s v="WAV"/>
    <s v="News_Outlet"/>
    <x v="2"/>
    <n v="67.3"/>
    <x v="1"/>
    <n v="76.2"/>
    <x v="1"/>
    <x v="1"/>
    <s v="AI Generated"/>
    <n v="0.64100000000000001"/>
    <s v="Partial"/>
    <n v="530575"/>
    <s v="Low"/>
    <n v="19650244"/>
    <s v="Highly Viral"/>
    <s v="AI_Model"/>
    <x v="2"/>
  </r>
  <r>
    <s v="RD-0348"/>
    <x v="80"/>
    <x v="0"/>
    <x v="1"/>
    <s v="MP4"/>
    <s v="Bot_Network"/>
    <x v="6"/>
    <n v="68.599999999999994"/>
    <x v="1"/>
    <n v="79.7"/>
    <x v="1"/>
    <x v="1"/>
    <s v="AI Generated"/>
    <n v="0.28199999999999997"/>
    <s v="No"/>
    <n v="3199628"/>
    <s v="Medium"/>
    <n v="13258300"/>
    <s v="Highly Viral"/>
    <s v="AI_Model"/>
    <x v="2"/>
  </r>
  <r>
    <s v="RD-0349"/>
    <x v="37"/>
    <x v="6"/>
    <x v="4"/>
    <s v="PNG"/>
    <s v="Independent_Creator"/>
    <x v="3"/>
    <n v="39.1"/>
    <x v="1"/>
    <n v="89.1"/>
    <x v="1"/>
    <x v="2"/>
    <s v="Human Content"/>
    <n v="0.54600000000000004"/>
    <s v="Partial"/>
    <n v="1208693"/>
    <s v="Medium"/>
    <n v="10001616"/>
    <s v="Highly Viral"/>
    <s v="Community_Report"/>
    <x v="1"/>
  </r>
  <r>
    <s v="RD-0350"/>
    <x v="10"/>
    <x v="6"/>
    <x v="0"/>
    <s v="JPEG"/>
    <s v="News_Outlet"/>
    <x v="1"/>
    <n v="59.7"/>
    <x v="1"/>
    <n v="76.3"/>
    <x v="1"/>
    <x v="2"/>
    <s v="Human Content"/>
    <n v="0.94699999999999995"/>
    <s v="No"/>
    <n v="1762151"/>
    <s v="Medium"/>
    <n v="11538246"/>
    <s v="Highly Viral"/>
    <s v="Human_Reviewer"/>
    <x v="1"/>
  </r>
  <r>
    <s v="RD-0351"/>
    <x v="232"/>
    <x v="6"/>
    <x v="2"/>
    <s v="MP3"/>
    <s v="Independent_Creator"/>
    <x v="1"/>
    <n v="83.5"/>
    <x v="2"/>
    <n v="59.5"/>
    <x v="0"/>
    <x v="1"/>
    <s v="AI Generated"/>
    <n v="0.18099999999999999"/>
    <s v="Partial"/>
    <n v="456342"/>
    <s v="Low"/>
    <n v="18416887"/>
    <s v="Highly Viral"/>
    <s v="Automated_System"/>
    <x v="2"/>
  </r>
  <r>
    <s v="RD-0352"/>
    <x v="102"/>
    <x v="0"/>
    <x v="1"/>
    <s v="MP4"/>
    <s v="Bot_Network"/>
    <x v="5"/>
    <n v="19.7"/>
    <x v="0"/>
    <n v="78.400000000000006"/>
    <x v="1"/>
    <x v="0"/>
    <s v="Human Content"/>
    <n v="0.95199999999999996"/>
    <s v="No"/>
    <n v="1075646"/>
    <s v="Medium"/>
    <n v="7870116"/>
    <s v="Highly Viral"/>
    <s v="AI_Model"/>
    <x v="0"/>
  </r>
  <r>
    <s v="RD-0353"/>
    <x v="233"/>
    <x v="0"/>
    <x v="2"/>
    <s v="WAV"/>
    <s v="Anonymous"/>
    <x v="2"/>
    <n v="32.799999999999997"/>
    <x v="1"/>
    <n v="82.3"/>
    <x v="1"/>
    <x v="0"/>
    <s v="Human Content"/>
    <n v="0.69299999999999995"/>
    <s v="Yes"/>
    <n v="4744294"/>
    <s v="High"/>
    <n v="19021228"/>
    <s v="Highly Viral"/>
    <s v="Community_Report"/>
    <x v="0"/>
  </r>
  <r>
    <s v="RD-0354"/>
    <x v="234"/>
    <x v="7"/>
    <x v="2"/>
    <s v="JPEG"/>
    <s v="Bot_Network"/>
    <x v="0"/>
    <n v="78.599999999999994"/>
    <x v="2"/>
    <n v="84.9"/>
    <x v="1"/>
    <x v="1"/>
    <s v="AI Generated"/>
    <n v="0.64100000000000001"/>
    <s v="No"/>
    <n v="3015687"/>
    <s v="Medium"/>
    <n v="4507055"/>
    <s v="Moderately Viral"/>
    <s v="Community_Report"/>
    <x v="2"/>
  </r>
  <r>
    <s v="RD-0355"/>
    <x v="54"/>
    <x v="5"/>
    <x v="3"/>
    <s v="WAV"/>
    <s v="Bot_Network"/>
    <x v="2"/>
    <n v="55.2"/>
    <x v="1"/>
    <n v="58.6"/>
    <x v="0"/>
    <x v="2"/>
    <s v="Human Content"/>
    <n v="0.60699999999999998"/>
    <s v="No"/>
    <n v="1174519"/>
    <s v="Medium"/>
    <n v="18073522"/>
    <s v="Highly Viral"/>
    <s v="Human_Reviewer"/>
    <x v="1"/>
  </r>
  <r>
    <s v="RD-0356"/>
    <x v="235"/>
    <x v="0"/>
    <x v="0"/>
    <s v="JPEG"/>
    <s v="Verified_Org"/>
    <x v="3"/>
    <n v="3.1"/>
    <x v="0"/>
    <n v="78.5"/>
    <x v="1"/>
    <x v="0"/>
    <s v="Human Content"/>
    <n v="0.40500000000000003"/>
    <s v="Partial"/>
    <n v="1784865"/>
    <s v="Medium"/>
    <n v="1230481"/>
    <s v="Moderately Viral"/>
    <s v="Partner_API"/>
    <x v="0"/>
  </r>
  <r>
    <s v="RD-0357"/>
    <x v="236"/>
    <x v="5"/>
    <x v="2"/>
    <s v="WAV"/>
    <s v="Anonymous"/>
    <x v="0"/>
    <n v="89.1"/>
    <x v="2"/>
    <n v="78.900000000000006"/>
    <x v="1"/>
    <x v="1"/>
    <s v="AI Generated"/>
    <n v="0.85699999999999998"/>
    <s v="Yes"/>
    <n v="3898295"/>
    <s v="Medium"/>
    <n v="16815403"/>
    <s v="Highly Viral"/>
    <s v="Partner_API"/>
    <x v="2"/>
  </r>
  <r>
    <s v="RD-0358"/>
    <x v="60"/>
    <x v="7"/>
    <x v="1"/>
    <s v="JPEG"/>
    <s v="Celebrity"/>
    <x v="0"/>
    <n v="84.8"/>
    <x v="2"/>
    <n v="89.5"/>
    <x v="1"/>
    <x v="1"/>
    <s v="AI Generated"/>
    <n v="0.61399999999999999"/>
    <s v="Yes"/>
    <n v="4312991"/>
    <s v="High"/>
    <n v="4710558"/>
    <s v="Moderately Viral"/>
    <s v="Automated_System"/>
    <x v="2"/>
  </r>
  <r>
    <s v="RD-0359"/>
    <x v="185"/>
    <x v="6"/>
    <x v="4"/>
    <s v="MP3"/>
    <s v="Celebrity"/>
    <x v="3"/>
    <n v="48.4"/>
    <x v="1"/>
    <n v="67.599999999999994"/>
    <x v="0"/>
    <x v="2"/>
    <s v="Human Content"/>
    <n v="0.219"/>
    <s v="No"/>
    <n v="1944159"/>
    <s v="Medium"/>
    <n v="2109770"/>
    <s v="Moderately Viral"/>
    <s v="Community_Report"/>
    <x v="1"/>
  </r>
  <r>
    <s v="RD-0360"/>
    <x v="237"/>
    <x v="4"/>
    <x v="0"/>
    <s v="PNG"/>
    <s v="Verified_Org"/>
    <x v="6"/>
    <n v="36.1"/>
    <x v="1"/>
    <n v="73"/>
    <x v="1"/>
    <x v="2"/>
    <s v="Human Content"/>
    <n v="0.45500000000000002"/>
    <s v="Yes"/>
    <n v="334844"/>
    <s v="Low"/>
    <n v="10874522"/>
    <s v="Highly Viral"/>
    <s v="AI_Model"/>
    <x v="1"/>
  </r>
  <r>
    <s v="RD-0361"/>
    <x v="120"/>
    <x v="2"/>
    <x v="1"/>
    <s v="MP3"/>
    <s v="Anonymous"/>
    <x v="3"/>
    <n v="37.9"/>
    <x v="1"/>
    <n v="78.8"/>
    <x v="1"/>
    <x v="2"/>
    <s v="Human Content"/>
    <n v="0.89800000000000002"/>
    <s v="Yes"/>
    <n v="4334182"/>
    <s v="High"/>
    <n v="8442339"/>
    <s v="Highly Viral"/>
    <s v="Automated_System"/>
    <x v="1"/>
  </r>
  <r>
    <s v="RD-0362"/>
    <x v="218"/>
    <x v="7"/>
    <x v="1"/>
    <s v="WAV"/>
    <s v="Anonymous"/>
    <x v="6"/>
    <n v="48.2"/>
    <x v="1"/>
    <n v="79.599999999999994"/>
    <x v="1"/>
    <x v="2"/>
    <s v="Human Content"/>
    <n v="0.502"/>
    <s v="Yes"/>
    <n v="3690237"/>
    <s v="Medium"/>
    <n v="5557309"/>
    <s v="Highly Viral"/>
    <s v="Human_Reviewer"/>
    <x v="1"/>
  </r>
  <r>
    <s v="RD-0363"/>
    <x v="169"/>
    <x v="2"/>
    <x v="2"/>
    <s v="MP3"/>
    <s v="Independent_Creator"/>
    <x v="0"/>
    <n v="36.200000000000003"/>
    <x v="1"/>
    <n v="85.1"/>
    <x v="1"/>
    <x v="2"/>
    <s v="Human Content"/>
    <n v="0.11799999999999999"/>
    <s v="Yes"/>
    <n v="3478131"/>
    <s v="Medium"/>
    <n v="11081004"/>
    <s v="Highly Viral"/>
    <s v="AI_Model"/>
    <x v="1"/>
  </r>
  <r>
    <s v="RD-0364"/>
    <x v="238"/>
    <x v="5"/>
    <x v="3"/>
    <s v="PNG"/>
    <s v="Verified_Org"/>
    <x v="0"/>
    <n v="64.7"/>
    <x v="1"/>
    <n v="70.099999999999994"/>
    <x v="1"/>
    <x v="1"/>
    <s v="AI Generated"/>
    <n v="0.24399999999999999"/>
    <s v="Yes"/>
    <n v="4810853"/>
    <s v="High"/>
    <n v="19876389"/>
    <s v="Highly Viral"/>
    <s v="Human_Reviewer"/>
    <x v="1"/>
  </r>
  <r>
    <s v="RD-0365"/>
    <x v="131"/>
    <x v="1"/>
    <x v="4"/>
    <s v="MP3"/>
    <s v="News_Outlet"/>
    <x v="0"/>
    <n v="25.8"/>
    <x v="0"/>
    <n v="58.8"/>
    <x v="0"/>
    <x v="0"/>
    <s v="Human Content"/>
    <n v="0.95799999999999996"/>
    <s v="Partial"/>
    <n v="4727958"/>
    <s v="High"/>
    <n v="625284"/>
    <b v="0"/>
    <s v="Community_Report"/>
    <x v="0"/>
  </r>
  <r>
    <s v="RD-0366"/>
    <x v="239"/>
    <x v="4"/>
    <x v="3"/>
    <s v="WEBM"/>
    <s v="Anonymous"/>
    <x v="0"/>
    <n v="21.9"/>
    <x v="0"/>
    <n v="70.099999999999994"/>
    <x v="1"/>
    <x v="0"/>
    <s v="Human Content"/>
    <n v="0.14299999999999999"/>
    <s v="Partial"/>
    <n v="1525854"/>
    <s v="Medium"/>
    <n v="17140268"/>
    <s v="Highly Viral"/>
    <s v="Community_Report"/>
    <x v="0"/>
  </r>
  <r>
    <s v="RD-0367"/>
    <x v="240"/>
    <x v="3"/>
    <x v="3"/>
    <s v="MP4"/>
    <s v="Independent_Creator"/>
    <x v="2"/>
    <n v="38.5"/>
    <x v="1"/>
    <n v="55.3"/>
    <x v="0"/>
    <x v="2"/>
    <s v="Human Content"/>
    <n v="0.20200000000000001"/>
    <s v="Partial"/>
    <n v="3521595"/>
    <s v="Medium"/>
    <n v="5018940"/>
    <s v="Highly Viral"/>
    <s v="Partner_API"/>
    <x v="1"/>
  </r>
  <r>
    <s v="RD-0368"/>
    <x v="3"/>
    <x v="6"/>
    <x v="3"/>
    <s v="JPEG"/>
    <s v="Verified_Org"/>
    <x v="1"/>
    <n v="75.2"/>
    <x v="2"/>
    <n v="54.6"/>
    <x v="0"/>
    <x v="1"/>
    <s v="AI Generated"/>
    <n v="0.65900000000000003"/>
    <s v="Partial"/>
    <n v="4523958"/>
    <s v="High"/>
    <n v="40772"/>
    <s v="Low Viral"/>
    <s v="Automated_System"/>
    <x v="2"/>
  </r>
  <r>
    <s v="RD-0369"/>
    <x v="215"/>
    <x v="7"/>
    <x v="1"/>
    <s v="JPEG"/>
    <s v="Celebrity"/>
    <x v="1"/>
    <n v="42.9"/>
    <x v="1"/>
    <n v="96"/>
    <x v="1"/>
    <x v="2"/>
    <s v="Human Content"/>
    <n v="0.48199999999999998"/>
    <s v="No"/>
    <n v="2940456"/>
    <s v="Medium"/>
    <n v="19765673"/>
    <s v="Highly Viral"/>
    <s v="Partner_API"/>
    <x v="1"/>
  </r>
  <r>
    <s v="RD-0370"/>
    <x v="164"/>
    <x v="7"/>
    <x v="2"/>
    <s v="GIF"/>
    <s v="Anonymous"/>
    <x v="6"/>
    <n v="23.3"/>
    <x v="0"/>
    <n v="92.1"/>
    <x v="1"/>
    <x v="0"/>
    <s v="Human Content"/>
    <n v="0.28299999999999997"/>
    <s v="Partial"/>
    <n v="3428077"/>
    <s v="Medium"/>
    <n v="8650999"/>
    <s v="Highly Viral"/>
    <s v="Human_Reviewer"/>
    <x v="0"/>
  </r>
  <r>
    <s v="RD-0371"/>
    <x v="212"/>
    <x v="1"/>
    <x v="4"/>
    <s v="MP4"/>
    <s v="Verified_Org"/>
    <x v="5"/>
    <n v="37.5"/>
    <x v="1"/>
    <n v="60.1"/>
    <x v="0"/>
    <x v="2"/>
    <s v="Human Content"/>
    <n v="0.80400000000000005"/>
    <s v="No"/>
    <n v="3039039"/>
    <s v="Medium"/>
    <n v="3576839"/>
    <s v="Moderately Viral"/>
    <s v="Human_Reviewer"/>
    <x v="1"/>
  </r>
  <r>
    <s v="RD-0372"/>
    <x v="241"/>
    <x v="2"/>
    <x v="1"/>
    <s v="PDF"/>
    <s v="Verified_Org"/>
    <x v="4"/>
    <n v="61.2"/>
    <x v="1"/>
    <n v="98.6"/>
    <x v="1"/>
    <x v="1"/>
    <s v="AI Generated"/>
    <n v="0.39700000000000002"/>
    <s v="Yes"/>
    <n v="3466509"/>
    <s v="Medium"/>
    <n v="18526067"/>
    <s v="Highly Viral"/>
    <s v="Partner_API"/>
    <x v="1"/>
  </r>
  <r>
    <s v="RD-0373"/>
    <x v="127"/>
    <x v="6"/>
    <x v="1"/>
    <s v="WEBM"/>
    <s v="Bot_Network"/>
    <x v="4"/>
    <n v="57.8"/>
    <x v="1"/>
    <n v="87.9"/>
    <x v="1"/>
    <x v="2"/>
    <s v="Human Content"/>
    <n v="0.39800000000000002"/>
    <s v="Yes"/>
    <n v="999063"/>
    <s v="Low"/>
    <n v="7710345"/>
    <s v="Highly Viral"/>
    <s v="Automated_System"/>
    <x v="1"/>
  </r>
  <r>
    <s v="RD-0374"/>
    <x v="80"/>
    <x v="6"/>
    <x v="0"/>
    <s v="PNG"/>
    <s v="Verified_Org"/>
    <x v="2"/>
    <n v="78.599999999999994"/>
    <x v="2"/>
    <n v="89.2"/>
    <x v="1"/>
    <x v="1"/>
    <s v="AI Generated"/>
    <n v="0.61399999999999999"/>
    <s v="Partial"/>
    <n v="436750"/>
    <s v="Low"/>
    <n v="5393972"/>
    <s v="Highly Viral"/>
    <s v="Automated_System"/>
    <x v="2"/>
  </r>
  <r>
    <s v="RD-0375"/>
    <x v="5"/>
    <x v="1"/>
    <x v="0"/>
    <s v="MP3"/>
    <s v="Anonymous"/>
    <x v="1"/>
    <n v="43.5"/>
    <x v="1"/>
    <n v="53.1"/>
    <x v="0"/>
    <x v="2"/>
    <s v="Human Content"/>
    <n v="0.222"/>
    <s v="Yes"/>
    <n v="316814"/>
    <s v="Low"/>
    <n v="12896340"/>
    <s v="Highly Viral"/>
    <s v="Automated_System"/>
    <x v="1"/>
  </r>
  <r>
    <s v="RD-0376"/>
    <x v="125"/>
    <x v="2"/>
    <x v="4"/>
    <s v="JPEG"/>
    <s v="Independent_Creator"/>
    <x v="3"/>
    <n v="49.4"/>
    <x v="1"/>
    <n v="50.5"/>
    <x v="0"/>
    <x v="2"/>
    <s v="Human Content"/>
    <n v="0.85099999999999998"/>
    <s v="Partial"/>
    <n v="2399296"/>
    <s v="Medium"/>
    <n v="6535108"/>
    <s v="Highly Viral"/>
    <s v="AI_Model"/>
    <x v="1"/>
  </r>
  <r>
    <s v="RD-0377"/>
    <x v="151"/>
    <x v="4"/>
    <x v="4"/>
    <s v="MP3"/>
    <s v="Celebrity"/>
    <x v="5"/>
    <n v="36"/>
    <x v="1"/>
    <n v="82.1"/>
    <x v="1"/>
    <x v="2"/>
    <s v="Human Content"/>
    <n v="0.97599999999999998"/>
    <s v="Yes"/>
    <n v="2314826"/>
    <s v="Medium"/>
    <n v="13403270"/>
    <s v="Highly Viral"/>
    <s v="Community_Report"/>
    <x v="1"/>
  </r>
  <r>
    <s v="RD-0378"/>
    <x v="143"/>
    <x v="7"/>
    <x v="3"/>
    <s v="PNG"/>
    <s v="Verified_Org"/>
    <x v="5"/>
    <n v="73.7"/>
    <x v="2"/>
    <n v="53.4"/>
    <x v="0"/>
    <x v="1"/>
    <s v="AI Generated"/>
    <n v="0.09"/>
    <s v="No"/>
    <n v="4690287"/>
    <s v="High"/>
    <n v="19560466"/>
    <s v="Highly Viral"/>
    <s v="Community_Report"/>
    <x v="2"/>
  </r>
  <r>
    <s v="RD-0379"/>
    <x v="242"/>
    <x v="2"/>
    <x v="2"/>
    <s v="PNG"/>
    <s v="Anonymous"/>
    <x v="2"/>
    <n v="57.5"/>
    <x v="1"/>
    <n v="62.8"/>
    <x v="0"/>
    <x v="2"/>
    <s v="Human Content"/>
    <n v="0.40699999999999997"/>
    <s v="Yes"/>
    <n v="4686234"/>
    <s v="High"/>
    <n v="2429370"/>
    <s v="Moderately Viral"/>
    <s v="Partner_API"/>
    <x v="1"/>
  </r>
  <r>
    <s v="RD-0380"/>
    <x v="243"/>
    <x v="3"/>
    <x v="0"/>
    <s v="GIF"/>
    <s v="Verified_Org"/>
    <x v="6"/>
    <n v="79.3"/>
    <x v="2"/>
    <n v="62.3"/>
    <x v="0"/>
    <x v="1"/>
    <s v="AI Generated"/>
    <n v="0.443"/>
    <s v="No"/>
    <n v="4724300"/>
    <s v="High"/>
    <n v="16228426"/>
    <s v="Highly Viral"/>
    <s v="Human_Reviewer"/>
    <x v="2"/>
  </r>
  <r>
    <s v="RD-0381"/>
    <x v="244"/>
    <x v="5"/>
    <x v="3"/>
    <s v="JPEG"/>
    <s v="Anonymous"/>
    <x v="5"/>
    <n v="25.8"/>
    <x v="0"/>
    <n v="68.8"/>
    <x v="0"/>
    <x v="0"/>
    <s v="Human Content"/>
    <n v="0.78900000000000003"/>
    <s v="Yes"/>
    <n v="1928893"/>
    <s v="Medium"/>
    <n v="10594664"/>
    <s v="Highly Viral"/>
    <s v="Automated_System"/>
    <x v="0"/>
  </r>
  <r>
    <s v="RD-0382"/>
    <x v="130"/>
    <x v="1"/>
    <x v="1"/>
    <s v="PNG"/>
    <s v="Bot_Network"/>
    <x v="5"/>
    <n v="39.9"/>
    <x v="1"/>
    <n v="86.7"/>
    <x v="1"/>
    <x v="2"/>
    <s v="Human Content"/>
    <n v="0.34200000000000003"/>
    <s v="Partial"/>
    <n v="1497346"/>
    <s v="Medium"/>
    <n v="15991047"/>
    <s v="Highly Viral"/>
    <s v="Community_Report"/>
    <x v="1"/>
  </r>
  <r>
    <s v="RD-0383"/>
    <x v="29"/>
    <x v="4"/>
    <x v="4"/>
    <s v="GIF"/>
    <s v="Independent_Creator"/>
    <x v="3"/>
    <n v="68.3"/>
    <x v="1"/>
    <n v="94.6"/>
    <x v="1"/>
    <x v="1"/>
    <s v="AI Generated"/>
    <n v="0.499"/>
    <s v="Yes"/>
    <n v="1970259"/>
    <s v="Medium"/>
    <n v="8122568"/>
    <s v="Highly Viral"/>
    <s v="Community_Report"/>
    <x v="2"/>
  </r>
  <r>
    <s v="RD-0384"/>
    <x v="174"/>
    <x v="4"/>
    <x v="2"/>
    <s v="PNG"/>
    <s v="Verified_Org"/>
    <x v="4"/>
    <n v="15.6"/>
    <x v="0"/>
    <n v="55.2"/>
    <x v="0"/>
    <x v="0"/>
    <s v="Human Content"/>
    <n v="0.92"/>
    <s v="Partial"/>
    <n v="4132872"/>
    <s v="High"/>
    <n v="222753"/>
    <s v="Low Viral"/>
    <s v="Partner_API"/>
    <x v="0"/>
  </r>
  <r>
    <s v="RD-0385"/>
    <x v="137"/>
    <x v="5"/>
    <x v="1"/>
    <s v="WAV"/>
    <s v="Anonymous"/>
    <x v="1"/>
    <n v="86.9"/>
    <x v="2"/>
    <n v="74"/>
    <x v="1"/>
    <x v="1"/>
    <s v="AI Generated"/>
    <n v="0.98399999999999999"/>
    <s v="Partial"/>
    <n v="2351146"/>
    <s v="Medium"/>
    <n v="13351120"/>
    <s v="Highly Viral"/>
    <s v="Human_Reviewer"/>
    <x v="2"/>
  </r>
  <r>
    <s v="RD-0386"/>
    <x v="245"/>
    <x v="6"/>
    <x v="0"/>
    <s v="PDF"/>
    <s v="Anonymous"/>
    <x v="1"/>
    <n v="3.3"/>
    <x v="0"/>
    <n v="67"/>
    <x v="0"/>
    <x v="0"/>
    <s v="Human Content"/>
    <n v="0.86"/>
    <s v="Yes"/>
    <n v="3835338"/>
    <s v="Medium"/>
    <n v="4039385"/>
    <s v="Moderately Viral"/>
    <s v="Partner_API"/>
    <x v="0"/>
  </r>
  <r>
    <s v="RD-0387"/>
    <x v="231"/>
    <x v="3"/>
    <x v="0"/>
    <s v="JPEG"/>
    <s v="Celebrity"/>
    <x v="0"/>
    <n v="37.9"/>
    <x v="1"/>
    <n v="54.9"/>
    <x v="0"/>
    <x v="2"/>
    <s v="Human Content"/>
    <n v="0.36199999999999999"/>
    <s v="No"/>
    <n v="1570048"/>
    <s v="Medium"/>
    <n v="18407233"/>
    <s v="Highly Viral"/>
    <s v="Community_Report"/>
    <x v="1"/>
  </r>
  <r>
    <s v="RD-0388"/>
    <x v="225"/>
    <x v="2"/>
    <x v="3"/>
    <s v="WAV"/>
    <s v="Bot_Network"/>
    <x v="0"/>
    <n v="49.9"/>
    <x v="1"/>
    <n v="60.3"/>
    <x v="0"/>
    <x v="2"/>
    <s v="Human Content"/>
    <n v="0.70099999999999996"/>
    <s v="No"/>
    <n v="3062596"/>
    <s v="Medium"/>
    <n v="13442157"/>
    <s v="Highly Viral"/>
    <s v="Community_Report"/>
    <x v="1"/>
  </r>
  <r>
    <s v="RD-0389"/>
    <x v="56"/>
    <x v="6"/>
    <x v="4"/>
    <s v="MP3"/>
    <s v="Verified_Org"/>
    <x v="3"/>
    <n v="22.9"/>
    <x v="0"/>
    <n v="54.9"/>
    <x v="0"/>
    <x v="0"/>
    <s v="Human Content"/>
    <n v="0.27"/>
    <s v="Yes"/>
    <n v="4658629"/>
    <s v="High"/>
    <n v="14503354"/>
    <s v="Highly Viral"/>
    <s v="Automated_System"/>
    <x v="0"/>
  </r>
  <r>
    <s v="RD-0390"/>
    <x v="246"/>
    <x v="6"/>
    <x v="2"/>
    <s v="WEBM"/>
    <s v="News_Outlet"/>
    <x v="0"/>
    <n v="42.2"/>
    <x v="1"/>
    <n v="56.6"/>
    <x v="0"/>
    <x v="2"/>
    <s v="Human Content"/>
    <n v="0.89300000000000002"/>
    <s v="Partial"/>
    <n v="4337068"/>
    <s v="High"/>
    <n v="17917982"/>
    <s v="Highly Viral"/>
    <s v="Community_Report"/>
    <x v="1"/>
  </r>
  <r>
    <s v="RD-0391"/>
    <x v="184"/>
    <x v="2"/>
    <x v="1"/>
    <s v="JPEG"/>
    <s v="Anonymous"/>
    <x v="5"/>
    <n v="69.099999999999994"/>
    <x v="1"/>
    <n v="52.9"/>
    <x v="0"/>
    <x v="1"/>
    <s v="AI Generated"/>
    <n v="0.81399999999999995"/>
    <s v="No"/>
    <n v="807938"/>
    <s v="Low"/>
    <n v="15095122"/>
    <s v="Highly Viral"/>
    <s v="Community_Report"/>
    <x v="2"/>
  </r>
  <r>
    <s v="RD-0392"/>
    <x v="236"/>
    <x v="3"/>
    <x v="1"/>
    <s v="GIF"/>
    <s v="Bot_Network"/>
    <x v="5"/>
    <n v="41.2"/>
    <x v="1"/>
    <n v="67.2"/>
    <x v="0"/>
    <x v="2"/>
    <s v="Human Content"/>
    <n v="0.68"/>
    <s v="Partial"/>
    <n v="1669081"/>
    <s v="Medium"/>
    <n v="19356500"/>
    <s v="Highly Viral"/>
    <s v="Partner_API"/>
    <x v="1"/>
  </r>
  <r>
    <s v="RD-0393"/>
    <x v="228"/>
    <x v="6"/>
    <x v="1"/>
    <s v="WAV"/>
    <s v="Bot_Network"/>
    <x v="3"/>
    <n v="51"/>
    <x v="1"/>
    <n v="88"/>
    <x v="1"/>
    <x v="2"/>
    <s v="Human Content"/>
    <n v="0.44700000000000001"/>
    <s v="Yes"/>
    <n v="3196755"/>
    <s v="Medium"/>
    <n v="9614635"/>
    <s v="Highly Viral"/>
    <s v="Automated_System"/>
    <x v="1"/>
  </r>
  <r>
    <s v="RD-0394"/>
    <x v="111"/>
    <x v="6"/>
    <x v="2"/>
    <s v="WAV"/>
    <s v="Anonymous"/>
    <x v="3"/>
    <n v="61.2"/>
    <x v="1"/>
    <n v="69.8"/>
    <x v="0"/>
    <x v="1"/>
    <s v="AI Generated"/>
    <n v="0.90700000000000003"/>
    <s v="Yes"/>
    <n v="1359050"/>
    <s v="Medium"/>
    <n v="11530658"/>
    <s v="Highly Viral"/>
    <s v="Human_Reviewer"/>
    <x v="1"/>
  </r>
  <r>
    <s v="RD-0395"/>
    <x v="247"/>
    <x v="3"/>
    <x v="1"/>
    <s v="GIF"/>
    <s v="Verified_Org"/>
    <x v="3"/>
    <n v="39.5"/>
    <x v="1"/>
    <n v="93.5"/>
    <x v="1"/>
    <x v="2"/>
    <s v="Human Content"/>
    <n v="0.78100000000000003"/>
    <s v="No"/>
    <n v="4923539"/>
    <s v="High"/>
    <n v="17480201"/>
    <s v="Highly Viral"/>
    <s v="Automated_System"/>
    <x v="1"/>
  </r>
  <r>
    <s v="RD-0396"/>
    <x v="232"/>
    <x v="6"/>
    <x v="2"/>
    <s v="JPEG"/>
    <s v="Independent_Creator"/>
    <x v="3"/>
    <n v="23.5"/>
    <x v="0"/>
    <n v="62.3"/>
    <x v="0"/>
    <x v="0"/>
    <s v="Human Content"/>
    <n v="0.74399999999999999"/>
    <s v="Partial"/>
    <n v="671731"/>
    <s v="Low"/>
    <n v="7066106"/>
    <s v="Highly Viral"/>
    <s v="Human_Reviewer"/>
    <x v="0"/>
  </r>
  <r>
    <s v="RD-0397"/>
    <x v="119"/>
    <x v="0"/>
    <x v="0"/>
    <s v="MP4"/>
    <s v="Anonymous"/>
    <x v="1"/>
    <n v="5.4"/>
    <x v="0"/>
    <n v="87.8"/>
    <x v="1"/>
    <x v="0"/>
    <s v="Human Content"/>
    <n v="0.52400000000000002"/>
    <s v="Yes"/>
    <n v="871914"/>
    <s v="Low"/>
    <n v="8806936"/>
    <s v="Highly Viral"/>
    <s v="Partner_API"/>
    <x v="0"/>
  </r>
  <r>
    <s v="RD-0398"/>
    <x v="248"/>
    <x v="0"/>
    <x v="3"/>
    <s v="GIF"/>
    <s v="Independent_Creator"/>
    <x v="0"/>
    <n v="73.8"/>
    <x v="2"/>
    <n v="71.7"/>
    <x v="1"/>
    <x v="1"/>
    <s v="AI Generated"/>
    <n v="0.126"/>
    <s v="Partial"/>
    <n v="1431263"/>
    <s v="Medium"/>
    <n v="959193"/>
    <b v="0"/>
    <s v="AI_Model"/>
    <x v="2"/>
  </r>
  <r>
    <s v="RD-0399"/>
    <x v="249"/>
    <x v="3"/>
    <x v="1"/>
    <s v="WEBM"/>
    <s v="Anonymous"/>
    <x v="6"/>
    <n v="54.1"/>
    <x v="1"/>
    <n v="63.3"/>
    <x v="0"/>
    <x v="2"/>
    <s v="Human Content"/>
    <n v="0.44500000000000001"/>
    <s v="Partial"/>
    <n v="4523972"/>
    <s v="High"/>
    <n v="5940863"/>
    <s v="Highly Viral"/>
    <s v="Partner_API"/>
    <x v="1"/>
  </r>
  <r>
    <s v="RD-0400"/>
    <x v="175"/>
    <x v="5"/>
    <x v="4"/>
    <s v="PDF"/>
    <s v="Verified_Org"/>
    <x v="3"/>
    <n v="64"/>
    <x v="1"/>
    <n v="65.2"/>
    <x v="0"/>
    <x v="1"/>
    <s v="AI Generated"/>
    <n v="0.34699999999999998"/>
    <s v="Partial"/>
    <n v="1905391"/>
    <s v="Medium"/>
    <n v="3005434"/>
    <s v="Moderately Viral"/>
    <s v="Automated_System"/>
    <x v="1"/>
  </r>
  <r>
    <s v="RD-0401"/>
    <x v="250"/>
    <x v="3"/>
    <x v="3"/>
    <s v="GIF"/>
    <s v="Independent_Creator"/>
    <x v="4"/>
    <n v="1.1000000000000001"/>
    <x v="0"/>
    <n v="75.599999999999994"/>
    <x v="1"/>
    <x v="0"/>
    <s v="Human Content"/>
    <n v="0.75800000000000001"/>
    <s v="Yes"/>
    <n v="2884815"/>
    <s v="Medium"/>
    <n v="9622644"/>
    <s v="Highly Viral"/>
    <s v="Automated_System"/>
    <x v="0"/>
  </r>
  <r>
    <s v="RD-0402"/>
    <x v="214"/>
    <x v="1"/>
    <x v="3"/>
    <s v="WEBM"/>
    <s v="Bot_Network"/>
    <x v="5"/>
    <n v="76.599999999999994"/>
    <x v="2"/>
    <n v="89.1"/>
    <x v="1"/>
    <x v="1"/>
    <s v="AI Generated"/>
    <n v="0.59699999999999998"/>
    <s v="Yes"/>
    <n v="4598837"/>
    <s v="High"/>
    <n v="12537908"/>
    <s v="Highly Viral"/>
    <s v="Human_Reviewer"/>
    <x v="2"/>
  </r>
  <r>
    <s v="RD-0403"/>
    <x v="30"/>
    <x v="7"/>
    <x v="3"/>
    <s v="PNG"/>
    <s v="Independent_Creator"/>
    <x v="3"/>
    <n v="73.7"/>
    <x v="2"/>
    <n v="69.099999999999994"/>
    <x v="0"/>
    <x v="1"/>
    <s v="AI Generated"/>
    <n v="0.378"/>
    <s v="No"/>
    <n v="664559"/>
    <s v="Low"/>
    <n v="14168502"/>
    <s v="Highly Viral"/>
    <s v="Human_Reviewer"/>
    <x v="2"/>
  </r>
  <r>
    <s v="RD-0404"/>
    <x v="50"/>
    <x v="2"/>
    <x v="1"/>
    <s v="GIF"/>
    <s v="Anonymous"/>
    <x v="0"/>
    <n v="85.3"/>
    <x v="2"/>
    <n v="58.9"/>
    <x v="0"/>
    <x v="1"/>
    <s v="AI Generated"/>
    <n v="0.28999999999999998"/>
    <s v="Partial"/>
    <n v="3819794"/>
    <s v="Medium"/>
    <n v="15192847"/>
    <s v="Highly Viral"/>
    <s v="Community_Report"/>
    <x v="2"/>
  </r>
  <r>
    <s v="RD-0405"/>
    <x v="80"/>
    <x v="5"/>
    <x v="2"/>
    <s v="WAV"/>
    <s v="News_Outlet"/>
    <x v="0"/>
    <n v="5"/>
    <x v="0"/>
    <n v="76.2"/>
    <x v="1"/>
    <x v="0"/>
    <s v="Human Content"/>
    <n v="0.186"/>
    <s v="Yes"/>
    <n v="2366648"/>
    <s v="Medium"/>
    <n v="9033189"/>
    <s v="Highly Viral"/>
    <s v="Human_Reviewer"/>
    <x v="0"/>
  </r>
  <r>
    <s v="RD-0406"/>
    <x v="150"/>
    <x v="1"/>
    <x v="2"/>
    <s v="MP4"/>
    <s v="Independent_Creator"/>
    <x v="5"/>
    <n v="49.4"/>
    <x v="1"/>
    <n v="66.8"/>
    <x v="0"/>
    <x v="2"/>
    <s v="Human Content"/>
    <n v="0.312"/>
    <s v="No"/>
    <n v="3115604"/>
    <s v="Medium"/>
    <n v="15559168"/>
    <s v="Highly Viral"/>
    <s v="AI_Model"/>
    <x v="1"/>
  </r>
  <r>
    <s v="RD-0407"/>
    <x v="32"/>
    <x v="0"/>
    <x v="2"/>
    <s v="JPEG"/>
    <s v="Bot_Network"/>
    <x v="6"/>
    <n v="39.200000000000003"/>
    <x v="1"/>
    <n v="76.599999999999994"/>
    <x v="1"/>
    <x v="2"/>
    <s v="Human Content"/>
    <n v="0.182"/>
    <s v="No"/>
    <n v="3201003"/>
    <s v="Medium"/>
    <n v="423805"/>
    <s v="Low Viral"/>
    <s v="AI_Model"/>
    <x v="1"/>
  </r>
  <r>
    <s v="RD-0408"/>
    <x v="251"/>
    <x v="7"/>
    <x v="3"/>
    <s v="PNG"/>
    <s v="Celebrity"/>
    <x v="5"/>
    <n v="19.899999999999999"/>
    <x v="0"/>
    <n v="86"/>
    <x v="1"/>
    <x v="0"/>
    <s v="Human Content"/>
    <n v="9.4E-2"/>
    <s v="Partial"/>
    <n v="1748681"/>
    <s v="Medium"/>
    <n v="15865892"/>
    <s v="Highly Viral"/>
    <s v="Automated_System"/>
    <x v="0"/>
  </r>
  <r>
    <s v="RD-0409"/>
    <x v="252"/>
    <x v="2"/>
    <x v="1"/>
    <s v="MP3"/>
    <s v="Celebrity"/>
    <x v="3"/>
    <n v="4.2"/>
    <x v="0"/>
    <n v="95.9"/>
    <x v="1"/>
    <x v="0"/>
    <s v="Human Content"/>
    <n v="0.52100000000000002"/>
    <s v="No"/>
    <n v="4036946"/>
    <s v="High"/>
    <n v="10027003"/>
    <s v="Highly Viral"/>
    <s v="Human_Reviewer"/>
    <x v="0"/>
  </r>
  <r>
    <s v="RD-0410"/>
    <x v="191"/>
    <x v="1"/>
    <x v="2"/>
    <s v="MP4"/>
    <s v="Independent_Creator"/>
    <x v="3"/>
    <n v="43.4"/>
    <x v="1"/>
    <n v="50.7"/>
    <x v="0"/>
    <x v="2"/>
    <s v="Human Content"/>
    <n v="0.79400000000000004"/>
    <s v="Partial"/>
    <n v="1003793"/>
    <s v="Medium"/>
    <n v="13281622"/>
    <s v="Highly Viral"/>
    <s v="Human_Reviewer"/>
    <x v="1"/>
  </r>
  <r>
    <s v="RD-0411"/>
    <x v="253"/>
    <x v="1"/>
    <x v="4"/>
    <s v="WEBM"/>
    <s v="Celebrity"/>
    <x v="1"/>
    <n v="15.5"/>
    <x v="0"/>
    <n v="87.8"/>
    <x v="1"/>
    <x v="0"/>
    <s v="Human Content"/>
    <n v="0.249"/>
    <s v="No"/>
    <n v="766831"/>
    <s v="Low"/>
    <n v="11356061"/>
    <s v="Highly Viral"/>
    <s v="AI_Model"/>
    <x v="0"/>
  </r>
  <r>
    <s v="RD-0412"/>
    <x v="254"/>
    <x v="3"/>
    <x v="2"/>
    <s v="MP4"/>
    <s v="Independent_Creator"/>
    <x v="2"/>
    <n v="23.3"/>
    <x v="0"/>
    <n v="98.1"/>
    <x v="1"/>
    <x v="0"/>
    <s v="Human Content"/>
    <n v="0.78900000000000003"/>
    <s v="No"/>
    <n v="3680340"/>
    <s v="Medium"/>
    <n v="6475341"/>
    <s v="Highly Viral"/>
    <s v="AI_Model"/>
    <x v="0"/>
  </r>
  <r>
    <s v="RD-0413"/>
    <x v="255"/>
    <x v="7"/>
    <x v="1"/>
    <s v="MP3"/>
    <s v="Bot_Network"/>
    <x v="5"/>
    <n v="48.5"/>
    <x v="1"/>
    <n v="71.400000000000006"/>
    <x v="1"/>
    <x v="2"/>
    <s v="Human Content"/>
    <n v="0.29499999999999998"/>
    <s v="Partial"/>
    <n v="4111289"/>
    <s v="High"/>
    <n v="6368320"/>
    <s v="Highly Viral"/>
    <s v="Partner_API"/>
    <x v="1"/>
  </r>
  <r>
    <s v="RD-0414"/>
    <x v="256"/>
    <x v="3"/>
    <x v="1"/>
    <s v="WEBM"/>
    <s v="Bot_Network"/>
    <x v="6"/>
    <n v="83.1"/>
    <x v="2"/>
    <n v="94.8"/>
    <x v="1"/>
    <x v="1"/>
    <s v="AI Generated"/>
    <n v="0.55500000000000005"/>
    <s v="Yes"/>
    <n v="4455603"/>
    <s v="High"/>
    <n v="5202291"/>
    <s v="Highly Viral"/>
    <s v="Automated_System"/>
    <x v="2"/>
  </r>
  <r>
    <s v="RD-0415"/>
    <x v="20"/>
    <x v="2"/>
    <x v="4"/>
    <s v="WAV"/>
    <s v="Anonymous"/>
    <x v="5"/>
    <n v="77.599999999999994"/>
    <x v="2"/>
    <n v="74.8"/>
    <x v="1"/>
    <x v="1"/>
    <s v="AI Generated"/>
    <n v="0.73399999999999999"/>
    <s v="Yes"/>
    <n v="3054184"/>
    <s v="Medium"/>
    <n v="8012847"/>
    <s v="Highly Viral"/>
    <s v="Community_Report"/>
    <x v="2"/>
  </r>
  <r>
    <s v="RD-0416"/>
    <x v="257"/>
    <x v="7"/>
    <x v="2"/>
    <s v="WEBM"/>
    <s v="Verified_Org"/>
    <x v="0"/>
    <n v="61.3"/>
    <x v="1"/>
    <n v="65.8"/>
    <x v="0"/>
    <x v="1"/>
    <s v="AI Generated"/>
    <n v="0.64100000000000001"/>
    <s v="Yes"/>
    <n v="807556"/>
    <s v="Low"/>
    <n v="17556196"/>
    <s v="Highly Viral"/>
    <s v="AI_Model"/>
    <x v="1"/>
  </r>
  <r>
    <s v="RD-0417"/>
    <x v="258"/>
    <x v="6"/>
    <x v="2"/>
    <s v="JPEG"/>
    <s v="Independent_Creator"/>
    <x v="5"/>
    <n v="48.5"/>
    <x v="1"/>
    <n v="54.8"/>
    <x v="0"/>
    <x v="2"/>
    <s v="Human Content"/>
    <n v="0.57099999999999995"/>
    <s v="No"/>
    <n v="4109759"/>
    <s v="High"/>
    <n v="17644137"/>
    <s v="Highly Viral"/>
    <s v="Partner_API"/>
    <x v="1"/>
  </r>
  <r>
    <s v="RD-0418"/>
    <x v="57"/>
    <x v="2"/>
    <x v="0"/>
    <s v="WAV"/>
    <s v="Independent_Creator"/>
    <x v="1"/>
    <n v="71.8"/>
    <x v="2"/>
    <n v="50.6"/>
    <x v="0"/>
    <x v="1"/>
    <s v="AI Generated"/>
    <n v="0.92100000000000004"/>
    <s v="Partial"/>
    <n v="4122308"/>
    <s v="High"/>
    <n v="2683405"/>
    <s v="Moderately Viral"/>
    <s v="Automated_System"/>
    <x v="2"/>
  </r>
  <r>
    <s v="RD-0419"/>
    <x v="0"/>
    <x v="1"/>
    <x v="1"/>
    <s v="PDF"/>
    <s v="Bot_Network"/>
    <x v="6"/>
    <n v="70.8"/>
    <x v="2"/>
    <n v="90.4"/>
    <x v="1"/>
    <x v="1"/>
    <s v="AI Generated"/>
    <n v="0.26600000000000001"/>
    <s v="Yes"/>
    <n v="590558"/>
    <s v="Low"/>
    <n v="10197844"/>
    <s v="Highly Viral"/>
    <s v="AI_Model"/>
    <x v="2"/>
  </r>
  <r>
    <s v="RD-0420"/>
    <x v="52"/>
    <x v="0"/>
    <x v="0"/>
    <s v="PNG"/>
    <s v="Verified_Org"/>
    <x v="2"/>
    <n v="18.899999999999999"/>
    <x v="0"/>
    <n v="75.8"/>
    <x v="1"/>
    <x v="0"/>
    <s v="Human Content"/>
    <n v="0.249"/>
    <s v="Partial"/>
    <n v="1500804"/>
    <s v="Medium"/>
    <n v="18738082"/>
    <s v="Highly Viral"/>
    <s v="Partner_API"/>
    <x v="0"/>
  </r>
  <r>
    <s v="RD-0421"/>
    <x v="66"/>
    <x v="0"/>
    <x v="4"/>
    <s v="WAV"/>
    <s v="Celebrity"/>
    <x v="2"/>
    <n v="70.3"/>
    <x v="2"/>
    <n v="70.900000000000006"/>
    <x v="1"/>
    <x v="1"/>
    <s v="AI Generated"/>
    <n v="0.104"/>
    <s v="Yes"/>
    <n v="4613544"/>
    <s v="High"/>
    <n v="13474522"/>
    <s v="Highly Viral"/>
    <s v="Partner_API"/>
    <x v="2"/>
  </r>
  <r>
    <s v="RD-0422"/>
    <x v="142"/>
    <x v="6"/>
    <x v="4"/>
    <s v="WEBM"/>
    <s v="Bot_Network"/>
    <x v="4"/>
    <n v="55"/>
    <x v="1"/>
    <n v="98.8"/>
    <x v="1"/>
    <x v="2"/>
    <s v="Human Content"/>
    <n v="0.84499999999999997"/>
    <s v="No"/>
    <n v="3612134"/>
    <s v="Medium"/>
    <n v="10853711"/>
    <s v="Highly Viral"/>
    <s v="Partner_API"/>
    <x v="1"/>
  </r>
  <r>
    <s v="RD-0423"/>
    <x v="163"/>
    <x v="4"/>
    <x v="3"/>
    <s v="GIF"/>
    <s v="Bot_Network"/>
    <x v="2"/>
    <n v="44.7"/>
    <x v="1"/>
    <n v="69.5"/>
    <x v="0"/>
    <x v="2"/>
    <s v="Human Content"/>
    <n v="0.72599999999999998"/>
    <s v="No"/>
    <n v="4997720"/>
    <s v="High"/>
    <n v="547519"/>
    <b v="0"/>
    <s v="Partner_API"/>
    <x v="1"/>
  </r>
  <r>
    <s v="RD-0424"/>
    <x v="114"/>
    <x v="2"/>
    <x v="0"/>
    <s v="GIF"/>
    <s v="Independent_Creator"/>
    <x v="0"/>
    <n v="85.6"/>
    <x v="2"/>
    <n v="51.1"/>
    <x v="0"/>
    <x v="1"/>
    <s v="AI Generated"/>
    <n v="0.82199999999999995"/>
    <s v="Partial"/>
    <n v="2314996"/>
    <s v="Medium"/>
    <n v="18578352"/>
    <s v="Highly Viral"/>
    <s v="Partner_API"/>
    <x v="2"/>
  </r>
  <r>
    <s v="RD-0425"/>
    <x v="152"/>
    <x v="6"/>
    <x v="0"/>
    <s v="JPEG"/>
    <s v="Anonymous"/>
    <x v="4"/>
    <n v="15.6"/>
    <x v="0"/>
    <n v="63"/>
    <x v="0"/>
    <x v="0"/>
    <s v="Human Content"/>
    <n v="0.89"/>
    <s v="Yes"/>
    <n v="1954596"/>
    <s v="Medium"/>
    <n v="8598616"/>
    <s v="Highly Viral"/>
    <s v="Community_Report"/>
    <x v="0"/>
  </r>
  <r>
    <s v="RD-0426"/>
    <x v="51"/>
    <x v="7"/>
    <x v="4"/>
    <s v="PNG"/>
    <s v="Celebrity"/>
    <x v="5"/>
    <n v="72.400000000000006"/>
    <x v="2"/>
    <n v="88.9"/>
    <x v="1"/>
    <x v="1"/>
    <s v="AI Generated"/>
    <n v="0.17299999999999999"/>
    <s v="Partial"/>
    <n v="4833888"/>
    <s v="High"/>
    <n v="3200386"/>
    <s v="Moderately Viral"/>
    <s v="Partner_API"/>
    <x v="2"/>
  </r>
  <r>
    <s v="RD-0427"/>
    <x v="109"/>
    <x v="2"/>
    <x v="0"/>
    <s v="PDF"/>
    <s v="News_Outlet"/>
    <x v="6"/>
    <n v="5.6"/>
    <x v="0"/>
    <n v="87.8"/>
    <x v="1"/>
    <x v="0"/>
    <s v="Human Content"/>
    <n v="0.34799999999999998"/>
    <s v="No"/>
    <n v="3494137"/>
    <s v="Medium"/>
    <n v="4045168"/>
    <s v="Moderately Viral"/>
    <s v="Human_Reviewer"/>
    <x v="0"/>
  </r>
  <r>
    <s v="RD-0428"/>
    <x v="178"/>
    <x v="1"/>
    <x v="3"/>
    <s v="JPEG"/>
    <s v="Bot_Network"/>
    <x v="1"/>
    <n v="4.0999999999999996"/>
    <x v="0"/>
    <n v="76.5"/>
    <x v="1"/>
    <x v="0"/>
    <s v="Human Content"/>
    <n v="0.15"/>
    <s v="Partial"/>
    <n v="1852280"/>
    <s v="Medium"/>
    <n v="5140954"/>
    <s v="Highly Viral"/>
    <s v="AI_Model"/>
    <x v="0"/>
  </r>
  <r>
    <s v="RD-0429"/>
    <x v="176"/>
    <x v="7"/>
    <x v="3"/>
    <s v="MP4"/>
    <s v="Independent_Creator"/>
    <x v="2"/>
    <n v="29"/>
    <x v="0"/>
    <n v="69.3"/>
    <x v="0"/>
    <x v="0"/>
    <s v="Human Content"/>
    <n v="0.13200000000000001"/>
    <s v="Yes"/>
    <n v="3991858"/>
    <s v="Medium"/>
    <n v="19174864"/>
    <s v="Highly Viral"/>
    <s v="AI_Model"/>
    <x v="0"/>
  </r>
  <r>
    <s v="RD-0430"/>
    <x v="36"/>
    <x v="7"/>
    <x v="1"/>
    <s v="MP4"/>
    <s v="Anonymous"/>
    <x v="1"/>
    <n v="43.4"/>
    <x v="1"/>
    <n v="84.2"/>
    <x v="1"/>
    <x v="2"/>
    <s v="Human Content"/>
    <n v="0.76200000000000001"/>
    <s v="No"/>
    <n v="4691816"/>
    <s v="High"/>
    <n v="6647919"/>
    <s v="Highly Viral"/>
    <s v="Automated_System"/>
    <x v="1"/>
  </r>
  <r>
    <s v="RD-0431"/>
    <x v="259"/>
    <x v="4"/>
    <x v="4"/>
    <s v="PNG"/>
    <s v="Independent_Creator"/>
    <x v="5"/>
    <n v="26.6"/>
    <x v="0"/>
    <n v="71.099999999999994"/>
    <x v="1"/>
    <x v="0"/>
    <s v="Human Content"/>
    <n v="0.68500000000000005"/>
    <s v="Partial"/>
    <n v="751674"/>
    <s v="Low"/>
    <n v="3776375"/>
    <s v="Moderately Viral"/>
    <s v="Automated_System"/>
    <x v="0"/>
  </r>
  <r>
    <s v="RD-0432"/>
    <x v="260"/>
    <x v="3"/>
    <x v="1"/>
    <s v="PNG"/>
    <s v="Bot_Network"/>
    <x v="4"/>
    <n v="59.4"/>
    <x v="1"/>
    <n v="51.2"/>
    <x v="0"/>
    <x v="2"/>
    <s v="Human Content"/>
    <n v="0.30499999999999999"/>
    <s v="No"/>
    <n v="3709627"/>
    <s v="Medium"/>
    <n v="4893356"/>
    <s v="Moderately Viral"/>
    <s v="Automated_System"/>
    <x v="1"/>
  </r>
  <r>
    <s v="RD-0433"/>
    <x v="258"/>
    <x v="4"/>
    <x v="2"/>
    <s v="WAV"/>
    <s v="Independent_Creator"/>
    <x v="6"/>
    <n v="72.8"/>
    <x v="2"/>
    <n v="54.2"/>
    <x v="0"/>
    <x v="1"/>
    <s v="AI Generated"/>
    <n v="0.74"/>
    <s v="Yes"/>
    <n v="1238905"/>
    <s v="Medium"/>
    <n v="9653609"/>
    <s v="Highly Viral"/>
    <s v="AI_Model"/>
    <x v="2"/>
  </r>
  <r>
    <s v="RD-0434"/>
    <x v="172"/>
    <x v="0"/>
    <x v="1"/>
    <s v="WEBM"/>
    <s v="Anonymous"/>
    <x v="5"/>
    <n v="33.200000000000003"/>
    <x v="1"/>
    <n v="86.3"/>
    <x v="1"/>
    <x v="0"/>
    <s v="Human Content"/>
    <n v="0.21199999999999999"/>
    <s v="Partial"/>
    <n v="4389572"/>
    <s v="High"/>
    <n v="8679622"/>
    <s v="Highly Viral"/>
    <s v="Partner_API"/>
    <x v="0"/>
  </r>
  <r>
    <s v="RD-0435"/>
    <x v="127"/>
    <x v="6"/>
    <x v="0"/>
    <s v="PDF"/>
    <s v="Verified_Org"/>
    <x v="3"/>
    <n v="52.7"/>
    <x v="1"/>
    <n v="62.5"/>
    <x v="0"/>
    <x v="2"/>
    <s v="Human Content"/>
    <n v="0.06"/>
    <s v="Yes"/>
    <n v="2275773"/>
    <s v="Medium"/>
    <n v="1781745"/>
    <s v="Moderately Viral"/>
    <s v="Automated_System"/>
    <x v="1"/>
  </r>
  <r>
    <s v="RD-0436"/>
    <x v="134"/>
    <x v="1"/>
    <x v="0"/>
    <s v="PDF"/>
    <s v="Celebrity"/>
    <x v="4"/>
    <n v="66.3"/>
    <x v="1"/>
    <n v="94.7"/>
    <x v="1"/>
    <x v="1"/>
    <s v="AI Generated"/>
    <n v="0.36"/>
    <s v="Yes"/>
    <n v="160140"/>
    <s v="Low"/>
    <n v="9815022"/>
    <s v="Highly Viral"/>
    <s v="Automated_System"/>
    <x v="2"/>
  </r>
  <r>
    <s v="RD-0437"/>
    <x v="41"/>
    <x v="7"/>
    <x v="4"/>
    <s v="MP4"/>
    <s v="Bot_Network"/>
    <x v="2"/>
    <n v="86.7"/>
    <x v="2"/>
    <n v="76"/>
    <x v="1"/>
    <x v="1"/>
    <s v="AI Generated"/>
    <n v="0.186"/>
    <s v="Partial"/>
    <n v="3841967"/>
    <s v="Medium"/>
    <n v="18814051"/>
    <s v="Highly Viral"/>
    <s v="AI_Model"/>
    <x v="2"/>
  </r>
  <r>
    <s v="RD-0438"/>
    <x v="261"/>
    <x v="4"/>
    <x v="4"/>
    <s v="GIF"/>
    <s v="Bot_Network"/>
    <x v="2"/>
    <n v="39.299999999999997"/>
    <x v="1"/>
    <n v="57.7"/>
    <x v="0"/>
    <x v="2"/>
    <s v="Human Content"/>
    <n v="0.34699999999999998"/>
    <s v="No"/>
    <n v="2981227"/>
    <s v="Medium"/>
    <n v="10144884"/>
    <s v="Highly Viral"/>
    <s v="Human_Reviewer"/>
    <x v="1"/>
  </r>
  <r>
    <s v="RD-0439"/>
    <x v="262"/>
    <x v="2"/>
    <x v="0"/>
    <s v="GIF"/>
    <s v="Anonymous"/>
    <x v="6"/>
    <n v="99"/>
    <x v="2"/>
    <n v="96.3"/>
    <x v="1"/>
    <x v="1"/>
    <s v="AI Generated"/>
    <n v="0.94899999999999995"/>
    <s v="Yes"/>
    <n v="1272720"/>
    <s v="Medium"/>
    <n v="11468940"/>
    <s v="Highly Viral"/>
    <s v="Automated_System"/>
    <x v="2"/>
  </r>
  <r>
    <s v="RD-0440"/>
    <x v="113"/>
    <x v="6"/>
    <x v="0"/>
    <s v="PDF"/>
    <s v="Verified_Org"/>
    <x v="3"/>
    <n v="61.2"/>
    <x v="1"/>
    <n v="80.7"/>
    <x v="1"/>
    <x v="1"/>
    <s v="AI Generated"/>
    <n v="0.22700000000000001"/>
    <s v="Yes"/>
    <n v="4805921"/>
    <s v="High"/>
    <n v="5125911"/>
    <s v="Highly Viral"/>
    <s v="Automated_System"/>
    <x v="1"/>
  </r>
  <r>
    <s v="RD-0441"/>
    <x v="91"/>
    <x v="3"/>
    <x v="3"/>
    <s v="MP3"/>
    <s v="Independent_Creator"/>
    <x v="3"/>
    <n v="13.9"/>
    <x v="0"/>
    <n v="76.5"/>
    <x v="1"/>
    <x v="0"/>
    <s v="Human Content"/>
    <n v="0.8"/>
    <s v="Yes"/>
    <n v="2592166"/>
    <s v="Medium"/>
    <n v="17576495"/>
    <s v="Highly Viral"/>
    <s v="Human_Reviewer"/>
    <x v="0"/>
  </r>
  <r>
    <s v="RD-0442"/>
    <x v="116"/>
    <x v="6"/>
    <x v="4"/>
    <s v="MP3"/>
    <s v="Bot_Network"/>
    <x v="5"/>
    <n v="55.7"/>
    <x v="1"/>
    <n v="96.5"/>
    <x v="1"/>
    <x v="2"/>
    <s v="Human Content"/>
    <n v="0.11799999999999999"/>
    <s v="No"/>
    <n v="1220833"/>
    <s v="Medium"/>
    <n v="989796"/>
    <b v="0"/>
    <s v="Community_Report"/>
    <x v="1"/>
  </r>
  <r>
    <s v="RD-0443"/>
    <x v="232"/>
    <x v="7"/>
    <x v="1"/>
    <s v="WEBM"/>
    <s v="Celebrity"/>
    <x v="6"/>
    <n v="89.4"/>
    <x v="2"/>
    <n v="95.7"/>
    <x v="1"/>
    <x v="1"/>
    <s v="AI Generated"/>
    <n v="0.27400000000000002"/>
    <s v="Yes"/>
    <n v="895763"/>
    <s v="Low"/>
    <n v="4414447"/>
    <s v="Moderately Viral"/>
    <s v="Human_Reviewer"/>
    <x v="2"/>
  </r>
  <r>
    <s v="RD-0444"/>
    <x v="47"/>
    <x v="2"/>
    <x v="4"/>
    <s v="PNG"/>
    <s v="Verified_Org"/>
    <x v="0"/>
    <n v="23.1"/>
    <x v="0"/>
    <n v="51.3"/>
    <x v="0"/>
    <x v="0"/>
    <s v="Human Content"/>
    <n v="7.9000000000000001E-2"/>
    <s v="No"/>
    <n v="1124900"/>
    <s v="Medium"/>
    <n v="16855716"/>
    <s v="Highly Viral"/>
    <s v="Partner_API"/>
    <x v="0"/>
  </r>
  <r>
    <s v="RD-0445"/>
    <x v="263"/>
    <x v="3"/>
    <x v="2"/>
    <s v="PDF"/>
    <s v="Anonymous"/>
    <x v="2"/>
    <n v="13.8"/>
    <x v="0"/>
    <n v="59.5"/>
    <x v="0"/>
    <x v="0"/>
    <s v="Human Content"/>
    <n v="3.2000000000000001E-2"/>
    <s v="Yes"/>
    <n v="2263838"/>
    <s v="Medium"/>
    <n v="13859957"/>
    <s v="Highly Viral"/>
    <s v="Human_Reviewer"/>
    <x v="0"/>
  </r>
  <r>
    <s v="RD-0446"/>
    <x v="14"/>
    <x v="4"/>
    <x v="2"/>
    <s v="MP4"/>
    <s v="Independent_Creator"/>
    <x v="2"/>
    <n v="86.7"/>
    <x v="2"/>
    <n v="74"/>
    <x v="1"/>
    <x v="1"/>
    <s v="AI Generated"/>
    <n v="0.32500000000000001"/>
    <s v="No"/>
    <n v="2070272"/>
    <s v="Medium"/>
    <n v="14346888"/>
    <s v="Highly Viral"/>
    <s v="Automated_System"/>
    <x v="2"/>
  </r>
  <r>
    <s v="RD-0447"/>
    <x v="137"/>
    <x v="7"/>
    <x v="1"/>
    <s v="PDF"/>
    <s v="Verified_Org"/>
    <x v="3"/>
    <n v="57.2"/>
    <x v="1"/>
    <n v="76.3"/>
    <x v="1"/>
    <x v="2"/>
    <s v="Human Content"/>
    <n v="0.64100000000000001"/>
    <s v="Partial"/>
    <n v="323161"/>
    <s v="Low"/>
    <n v="17470584"/>
    <s v="Highly Viral"/>
    <s v="AI_Model"/>
    <x v="1"/>
  </r>
  <r>
    <s v="RD-0448"/>
    <x v="87"/>
    <x v="5"/>
    <x v="0"/>
    <s v="PNG"/>
    <s v="Verified_Org"/>
    <x v="1"/>
    <n v="39.6"/>
    <x v="1"/>
    <n v="86"/>
    <x v="1"/>
    <x v="2"/>
    <s v="Human Content"/>
    <n v="0.55800000000000005"/>
    <s v="Partial"/>
    <n v="413620"/>
    <s v="Low"/>
    <n v="6370820"/>
    <s v="Highly Viral"/>
    <s v="Community_Report"/>
    <x v="1"/>
  </r>
  <r>
    <s v="RD-0449"/>
    <x v="77"/>
    <x v="7"/>
    <x v="1"/>
    <s v="GIF"/>
    <s v="Anonymous"/>
    <x v="0"/>
    <n v="42.2"/>
    <x v="1"/>
    <n v="80"/>
    <x v="1"/>
    <x v="2"/>
    <s v="Human Content"/>
    <n v="5.5E-2"/>
    <s v="Partial"/>
    <n v="1193292"/>
    <s v="Medium"/>
    <n v="15555628"/>
    <s v="Highly Viral"/>
    <s v="Automated_System"/>
    <x v="1"/>
  </r>
  <r>
    <s v="RD-0450"/>
    <x v="60"/>
    <x v="0"/>
    <x v="2"/>
    <s v="MP3"/>
    <s v="Anonymous"/>
    <x v="2"/>
    <n v="32.299999999999997"/>
    <x v="1"/>
    <n v="51.2"/>
    <x v="0"/>
    <x v="0"/>
    <s v="Human Content"/>
    <n v="0.45400000000000001"/>
    <s v="Partial"/>
    <n v="1694028"/>
    <s v="Medium"/>
    <n v="15257136"/>
    <s v="Highly Viral"/>
    <s v="AI_Model"/>
    <x v="0"/>
  </r>
  <r>
    <s v="RD-0451"/>
    <x v="26"/>
    <x v="3"/>
    <x v="2"/>
    <s v="MP4"/>
    <s v="News_Outlet"/>
    <x v="5"/>
    <n v="70.599999999999994"/>
    <x v="2"/>
    <n v="81.099999999999994"/>
    <x v="1"/>
    <x v="1"/>
    <s v="AI Generated"/>
    <n v="8.5000000000000006E-2"/>
    <s v="Partial"/>
    <n v="3222058"/>
    <s v="Medium"/>
    <n v="17169177"/>
    <s v="Highly Viral"/>
    <s v="Partner_API"/>
    <x v="2"/>
  </r>
  <r>
    <s v="RD-0452"/>
    <x v="185"/>
    <x v="7"/>
    <x v="4"/>
    <s v="PDF"/>
    <s v="News_Outlet"/>
    <x v="6"/>
    <n v="17.100000000000001"/>
    <x v="0"/>
    <n v="66.400000000000006"/>
    <x v="0"/>
    <x v="0"/>
    <s v="Human Content"/>
    <n v="0.871"/>
    <s v="Yes"/>
    <n v="1360095"/>
    <s v="Medium"/>
    <n v="4852718"/>
    <s v="Moderately Viral"/>
    <s v="Human_Reviewer"/>
    <x v="0"/>
  </r>
  <r>
    <s v="RD-0453"/>
    <x v="264"/>
    <x v="1"/>
    <x v="3"/>
    <s v="GIF"/>
    <s v="Bot_Network"/>
    <x v="3"/>
    <n v="76.900000000000006"/>
    <x v="2"/>
    <n v="71.900000000000006"/>
    <x v="1"/>
    <x v="1"/>
    <s v="AI Generated"/>
    <n v="0.626"/>
    <s v="Yes"/>
    <n v="1103797"/>
    <s v="Medium"/>
    <n v="6807073"/>
    <s v="Highly Viral"/>
    <s v="AI_Model"/>
    <x v="2"/>
  </r>
  <r>
    <s v="RD-0454"/>
    <x v="43"/>
    <x v="2"/>
    <x v="0"/>
    <s v="WEBM"/>
    <s v="Anonymous"/>
    <x v="6"/>
    <n v="49.9"/>
    <x v="1"/>
    <n v="89.6"/>
    <x v="1"/>
    <x v="2"/>
    <s v="Human Content"/>
    <n v="0.60799999999999998"/>
    <s v="No"/>
    <n v="1995568"/>
    <s v="Medium"/>
    <n v="7277578"/>
    <s v="Highly Viral"/>
    <s v="Partner_API"/>
    <x v="1"/>
  </r>
  <r>
    <s v="RD-0455"/>
    <x v="265"/>
    <x v="5"/>
    <x v="3"/>
    <s v="PDF"/>
    <s v="Anonymous"/>
    <x v="5"/>
    <n v="60.1"/>
    <x v="1"/>
    <n v="50.3"/>
    <x v="0"/>
    <x v="1"/>
    <s v="AI Generated"/>
    <n v="0.88200000000000001"/>
    <s v="No"/>
    <n v="4677157"/>
    <s v="High"/>
    <n v="6967661"/>
    <s v="Highly Viral"/>
    <s v="AI_Model"/>
    <x v="1"/>
  </r>
  <r>
    <s v="RD-0456"/>
    <x v="153"/>
    <x v="6"/>
    <x v="0"/>
    <s v="WAV"/>
    <s v="News_Outlet"/>
    <x v="0"/>
    <n v="85.4"/>
    <x v="2"/>
    <n v="82.7"/>
    <x v="1"/>
    <x v="1"/>
    <s v="AI Generated"/>
    <n v="0.83799999999999997"/>
    <s v="No"/>
    <n v="2777661"/>
    <s v="Medium"/>
    <n v="2943313"/>
    <s v="Moderately Viral"/>
    <s v="AI_Model"/>
    <x v="2"/>
  </r>
  <r>
    <s v="RD-0457"/>
    <x v="266"/>
    <x v="7"/>
    <x v="2"/>
    <s v="MP3"/>
    <s v="Celebrity"/>
    <x v="4"/>
    <n v="61.1"/>
    <x v="1"/>
    <n v="83.9"/>
    <x v="1"/>
    <x v="1"/>
    <s v="AI Generated"/>
    <n v="0.59499999999999997"/>
    <s v="Partial"/>
    <n v="1488400"/>
    <s v="Medium"/>
    <n v="15279102"/>
    <s v="Highly Viral"/>
    <s v="Partner_API"/>
    <x v="1"/>
  </r>
  <r>
    <s v="RD-0458"/>
    <x v="191"/>
    <x v="1"/>
    <x v="0"/>
    <s v="GIF"/>
    <s v="Bot_Network"/>
    <x v="4"/>
    <n v="89.8"/>
    <x v="2"/>
    <n v="90.2"/>
    <x v="1"/>
    <x v="1"/>
    <s v="AI Generated"/>
    <n v="0.75800000000000001"/>
    <s v="Partial"/>
    <n v="544737"/>
    <s v="Low"/>
    <n v="9826335"/>
    <s v="Highly Viral"/>
    <s v="Automated_System"/>
    <x v="2"/>
  </r>
  <r>
    <s v="RD-0459"/>
    <x v="131"/>
    <x v="0"/>
    <x v="1"/>
    <s v="WAV"/>
    <s v="Verified_Org"/>
    <x v="2"/>
    <n v="52.5"/>
    <x v="1"/>
    <n v="84.1"/>
    <x v="1"/>
    <x v="2"/>
    <s v="Human Content"/>
    <n v="0.61199999999999999"/>
    <s v="Yes"/>
    <n v="4793074"/>
    <s v="High"/>
    <n v="17749003"/>
    <s v="Highly Viral"/>
    <s v="AI_Model"/>
    <x v="1"/>
  </r>
  <r>
    <s v="RD-0460"/>
    <x v="127"/>
    <x v="2"/>
    <x v="3"/>
    <s v="WAV"/>
    <s v="Bot_Network"/>
    <x v="1"/>
    <n v="57.5"/>
    <x v="1"/>
    <n v="80.5"/>
    <x v="1"/>
    <x v="2"/>
    <s v="Human Content"/>
    <n v="0.92700000000000005"/>
    <s v="Partial"/>
    <n v="4719818"/>
    <s v="High"/>
    <n v="16656816"/>
    <s v="Highly Viral"/>
    <s v="Partner_API"/>
    <x v="1"/>
  </r>
  <r>
    <s v="RD-0461"/>
    <x v="111"/>
    <x v="5"/>
    <x v="3"/>
    <s v="MP3"/>
    <s v="Verified_Org"/>
    <x v="0"/>
    <n v="70.900000000000006"/>
    <x v="2"/>
    <n v="98"/>
    <x v="1"/>
    <x v="1"/>
    <s v="AI Generated"/>
    <n v="2E-3"/>
    <s v="Yes"/>
    <n v="3899843"/>
    <s v="Medium"/>
    <n v="3957430"/>
    <s v="Moderately Viral"/>
    <s v="Human_Reviewer"/>
    <x v="2"/>
  </r>
  <r>
    <s v="RD-0462"/>
    <x v="187"/>
    <x v="7"/>
    <x v="3"/>
    <s v="JPEG"/>
    <s v="Bot_Network"/>
    <x v="4"/>
    <n v="56"/>
    <x v="1"/>
    <n v="81.2"/>
    <x v="1"/>
    <x v="2"/>
    <s v="Human Content"/>
    <n v="1.0999999999999999E-2"/>
    <s v="Yes"/>
    <n v="2362556"/>
    <s v="Medium"/>
    <n v="8537335"/>
    <s v="Highly Viral"/>
    <s v="AI_Model"/>
    <x v="1"/>
  </r>
  <r>
    <s v="RD-0463"/>
    <x v="250"/>
    <x v="2"/>
    <x v="4"/>
    <s v="WAV"/>
    <s v="News_Outlet"/>
    <x v="5"/>
    <n v="68.599999999999994"/>
    <x v="1"/>
    <n v="66.7"/>
    <x v="0"/>
    <x v="1"/>
    <s v="AI Generated"/>
    <n v="0.72399999999999998"/>
    <s v="Partial"/>
    <n v="244354"/>
    <s v="Low"/>
    <n v="5893634"/>
    <s v="Highly Viral"/>
    <s v="Human_Reviewer"/>
    <x v="2"/>
  </r>
  <r>
    <s v="RD-0464"/>
    <x v="32"/>
    <x v="3"/>
    <x v="3"/>
    <s v="WEBM"/>
    <s v="News_Outlet"/>
    <x v="3"/>
    <n v="13.6"/>
    <x v="0"/>
    <n v="57.6"/>
    <x v="0"/>
    <x v="0"/>
    <s v="Human Content"/>
    <n v="0.46100000000000002"/>
    <s v="Partial"/>
    <n v="2811203"/>
    <s v="Medium"/>
    <n v="15518420"/>
    <s v="Highly Viral"/>
    <s v="Automated_System"/>
    <x v="0"/>
  </r>
  <r>
    <s v="RD-0465"/>
    <x v="267"/>
    <x v="2"/>
    <x v="4"/>
    <s v="WAV"/>
    <s v="Verified_Org"/>
    <x v="1"/>
    <n v="1.9"/>
    <x v="0"/>
    <n v="78.3"/>
    <x v="1"/>
    <x v="0"/>
    <s v="Human Content"/>
    <n v="0.33200000000000002"/>
    <s v="No"/>
    <n v="555535"/>
    <s v="Low"/>
    <n v="5010341"/>
    <s v="Highly Viral"/>
    <s v="Community_Report"/>
    <x v="0"/>
  </r>
  <r>
    <s v="RD-0466"/>
    <x v="268"/>
    <x v="3"/>
    <x v="3"/>
    <s v="MP3"/>
    <s v="Verified_Org"/>
    <x v="1"/>
    <n v="39"/>
    <x v="1"/>
    <n v="79.2"/>
    <x v="1"/>
    <x v="2"/>
    <s v="Human Content"/>
    <n v="0.86499999999999999"/>
    <s v="No"/>
    <n v="2638312"/>
    <s v="Medium"/>
    <n v="1061766"/>
    <s v="Moderately Viral"/>
    <s v="Community_Report"/>
    <x v="1"/>
  </r>
  <r>
    <s v="RD-0467"/>
    <x v="232"/>
    <x v="0"/>
    <x v="3"/>
    <s v="PNG"/>
    <s v="Bot_Network"/>
    <x v="2"/>
    <n v="82.9"/>
    <x v="2"/>
    <n v="64.8"/>
    <x v="0"/>
    <x v="1"/>
    <s v="AI Generated"/>
    <n v="0.52500000000000002"/>
    <s v="Yes"/>
    <n v="941564"/>
    <s v="Low"/>
    <n v="12557094"/>
    <s v="Highly Viral"/>
    <s v="AI_Model"/>
    <x v="2"/>
  </r>
  <r>
    <s v="RD-0468"/>
    <x v="145"/>
    <x v="0"/>
    <x v="3"/>
    <s v="JPEG"/>
    <s v="Anonymous"/>
    <x v="1"/>
    <n v="15.4"/>
    <x v="0"/>
    <n v="66.7"/>
    <x v="0"/>
    <x v="0"/>
    <s v="Human Content"/>
    <n v="0.48299999999999998"/>
    <s v="Partial"/>
    <n v="2603577"/>
    <s v="Medium"/>
    <n v="10984139"/>
    <s v="Highly Viral"/>
    <s v="Human_Reviewer"/>
    <x v="0"/>
  </r>
  <r>
    <s v="RD-0469"/>
    <x v="164"/>
    <x v="6"/>
    <x v="2"/>
    <s v="JPEG"/>
    <s v="Anonymous"/>
    <x v="2"/>
    <n v="71.400000000000006"/>
    <x v="2"/>
    <n v="75.599999999999994"/>
    <x v="1"/>
    <x v="1"/>
    <s v="AI Generated"/>
    <n v="4.0000000000000001E-3"/>
    <s v="Yes"/>
    <n v="4985345"/>
    <s v="High"/>
    <n v="2922282"/>
    <s v="Moderately Viral"/>
    <s v="Community_Report"/>
    <x v="2"/>
  </r>
  <r>
    <s v="RD-0470"/>
    <x v="59"/>
    <x v="1"/>
    <x v="0"/>
    <s v="GIF"/>
    <s v="News_Outlet"/>
    <x v="1"/>
    <n v="75.8"/>
    <x v="2"/>
    <n v="81.3"/>
    <x v="1"/>
    <x v="1"/>
    <s v="AI Generated"/>
    <n v="0.21"/>
    <s v="Yes"/>
    <n v="1615289"/>
    <s v="Medium"/>
    <n v="9616105"/>
    <s v="Highly Viral"/>
    <s v="Community_Report"/>
    <x v="2"/>
  </r>
  <r>
    <s v="RD-0471"/>
    <x v="269"/>
    <x v="3"/>
    <x v="3"/>
    <s v="MP4"/>
    <s v="Bot_Network"/>
    <x v="0"/>
    <n v="15.7"/>
    <x v="0"/>
    <n v="55.6"/>
    <x v="0"/>
    <x v="0"/>
    <s v="Human Content"/>
    <n v="0.95799999999999996"/>
    <s v="Partial"/>
    <n v="4312353"/>
    <s v="High"/>
    <n v="3435644"/>
    <s v="Moderately Viral"/>
    <s v="Human_Reviewer"/>
    <x v="0"/>
  </r>
  <r>
    <s v="RD-0472"/>
    <x v="270"/>
    <x v="3"/>
    <x v="4"/>
    <s v="WAV"/>
    <s v="Bot_Network"/>
    <x v="0"/>
    <n v="94.3"/>
    <x v="2"/>
    <n v="89.4"/>
    <x v="1"/>
    <x v="1"/>
    <s v="AI Generated"/>
    <n v="0.57399999999999995"/>
    <s v="Yes"/>
    <n v="597728"/>
    <s v="Low"/>
    <n v="10448597"/>
    <s v="Highly Viral"/>
    <s v="Partner_API"/>
    <x v="2"/>
  </r>
  <r>
    <s v="RD-0473"/>
    <x v="244"/>
    <x v="5"/>
    <x v="0"/>
    <s v="MP3"/>
    <s v="News_Outlet"/>
    <x v="2"/>
    <n v="90.3"/>
    <x v="2"/>
    <n v="52.5"/>
    <x v="0"/>
    <x v="1"/>
    <s v="AI Generated"/>
    <n v="0.38400000000000001"/>
    <s v="Yes"/>
    <n v="3577553"/>
    <s v="Medium"/>
    <n v="13151044"/>
    <s v="Highly Viral"/>
    <s v="Human_Reviewer"/>
    <x v="2"/>
  </r>
  <r>
    <s v="RD-0474"/>
    <x v="120"/>
    <x v="5"/>
    <x v="4"/>
    <s v="WAV"/>
    <s v="Bot_Network"/>
    <x v="4"/>
    <n v="81.7"/>
    <x v="2"/>
    <n v="84.9"/>
    <x v="1"/>
    <x v="1"/>
    <s v="AI Generated"/>
    <n v="0.67100000000000004"/>
    <s v="Partial"/>
    <n v="658988"/>
    <s v="Low"/>
    <n v="15626643"/>
    <s v="Highly Viral"/>
    <s v="Partner_API"/>
    <x v="2"/>
  </r>
  <r>
    <s v="RD-0475"/>
    <x v="64"/>
    <x v="0"/>
    <x v="3"/>
    <s v="MP4"/>
    <s v="Anonymous"/>
    <x v="4"/>
    <n v="68.400000000000006"/>
    <x v="1"/>
    <n v="84.8"/>
    <x v="1"/>
    <x v="1"/>
    <s v="AI Generated"/>
    <n v="0.46500000000000002"/>
    <s v="Yes"/>
    <n v="1877423"/>
    <s v="Medium"/>
    <n v="4822999"/>
    <s v="Moderately Viral"/>
    <s v="Partner_API"/>
    <x v="2"/>
  </r>
  <r>
    <s v="RD-0476"/>
    <x v="271"/>
    <x v="3"/>
    <x v="3"/>
    <s v="MP3"/>
    <s v="Celebrity"/>
    <x v="3"/>
    <n v="33"/>
    <x v="1"/>
    <n v="92.2"/>
    <x v="1"/>
    <x v="0"/>
    <s v="Human Content"/>
    <n v="0.32500000000000001"/>
    <s v="No"/>
    <n v="253973"/>
    <s v="Low"/>
    <n v="2193792"/>
    <s v="Moderately Viral"/>
    <s v="Automated_System"/>
    <x v="0"/>
  </r>
  <r>
    <s v="RD-0477"/>
    <x v="272"/>
    <x v="3"/>
    <x v="3"/>
    <s v="WEBM"/>
    <s v="Independent_Creator"/>
    <x v="4"/>
    <n v="76.8"/>
    <x v="2"/>
    <n v="79.599999999999994"/>
    <x v="1"/>
    <x v="1"/>
    <s v="AI Generated"/>
    <n v="0.127"/>
    <s v="Yes"/>
    <n v="3403240"/>
    <s v="Medium"/>
    <n v="3590196"/>
    <s v="Moderately Viral"/>
    <s v="Community_Report"/>
    <x v="2"/>
  </r>
  <r>
    <s v="RD-0478"/>
    <x v="152"/>
    <x v="0"/>
    <x v="1"/>
    <s v="WEBM"/>
    <s v="Anonymous"/>
    <x v="1"/>
    <n v="41.3"/>
    <x v="1"/>
    <n v="80.400000000000006"/>
    <x v="1"/>
    <x v="2"/>
    <s v="Human Content"/>
    <n v="0.54800000000000004"/>
    <s v="No"/>
    <n v="3219785"/>
    <s v="Medium"/>
    <n v="2217103"/>
    <s v="Moderately Viral"/>
    <s v="Community_Report"/>
    <x v="1"/>
  </r>
  <r>
    <s v="RD-0479"/>
    <x v="273"/>
    <x v="7"/>
    <x v="3"/>
    <s v="WAV"/>
    <s v="Verified_Org"/>
    <x v="3"/>
    <n v="23.6"/>
    <x v="0"/>
    <n v="82.5"/>
    <x v="1"/>
    <x v="0"/>
    <s v="Human Content"/>
    <n v="7.8E-2"/>
    <s v="Partial"/>
    <n v="4816740"/>
    <s v="High"/>
    <n v="16329103"/>
    <s v="Highly Viral"/>
    <s v="AI_Model"/>
    <x v="0"/>
  </r>
  <r>
    <s v="RD-0480"/>
    <x v="49"/>
    <x v="5"/>
    <x v="1"/>
    <s v="MP4"/>
    <s v="Anonymous"/>
    <x v="0"/>
    <n v="30.8"/>
    <x v="1"/>
    <n v="69.900000000000006"/>
    <x v="0"/>
    <x v="0"/>
    <s v="Human Content"/>
    <n v="0.59799999999999998"/>
    <s v="Partial"/>
    <n v="3178635"/>
    <s v="Medium"/>
    <n v="10986497"/>
    <s v="Highly Viral"/>
    <s v="Automated_System"/>
    <x v="0"/>
  </r>
  <r>
    <s v="RD-0481"/>
    <x v="102"/>
    <x v="1"/>
    <x v="0"/>
    <s v="PNG"/>
    <s v="Independent_Creator"/>
    <x v="1"/>
    <n v="90.3"/>
    <x v="2"/>
    <n v="81.2"/>
    <x v="1"/>
    <x v="1"/>
    <s v="AI Generated"/>
    <n v="0"/>
    <s v="Yes"/>
    <n v="1251818"/>
    <s v="Medium"/>
    <n v="15199799"/>
    <s v="Highly Viral"/>
    <s v="Partner_API"/>
    <x v="2"/>
  </r>
  <r>
    <s v="RD-0482"/>
    <x v="274"/>
    <x v="7"/>
    <x v="4"/>
    <s v="WEBM"/>
    <s v="Independent_Creator"/>
    <x v="0"/>
    <n v="68.2"/>
    <x v="1"/>
    <n v="65.5"/>
    <x v="0"/>
    <x v="1"/>
    <s v="AI Generated"/>
    <n v="0.56999999999999995"/>
    <s v="Partial"/>
    <n v="2554851"/>
    <s v="Medium"/>
    <n v="14587518"/>
    <s v="Highly Viral"/>
    <s v="Community_Report"/>
    <x v="2"/>
  </r>
  <r>
    <s v="RD-0483"/>
    <x v="275"/>
    <x v="1"/>
    <x v="4"/>
    <s v="PDF"/>
    <s v="Independent_Creator"/>
    <x v="6"/>
    <n v="29.4"/>
    <x v="0"/>
    <n v="68.099999999999994"/>
    <x v="0"/>
    <x v="0"/>
    <s v="Human Content"/>
    <n v="0.54900000000000004"/>
    <s v="Yes"/>
    <n v="7174"/>
    <s v="Low"/>
    <n v="18791997"/>
    <s v="Highly Viral"/>
    <s v="Community_Report"/>
    <x v="0"/>
  </r>
  <r>
    <s v="RD-0484"/>
    <x v="95"/>
    <x v="2"/>
    <x v="0"/>
    <s v="PNG"/>
    <s v="Anonymous"/>
    <x v="3"/>
    <n v="59"/>
    <x v="1"/>
    <n v="80.599999999999994"/>
    <x v="1"/>
    <x v="2"/>
    <s v="Human Content"/>
    <n v="0.71199999999999997"/>
    <s v="No"/>
    <n v="3200899"/>
    <s v="Medium"/>
    <n v="14603054"/>
    <s v="Highly Viral"/>
    <s v="Partner_API"/>
    <x v="1"/>
  </r>
  <r>
    <s v="RD-0485"/>
    <x v="96"/>
    <x v="6"/>
    <x v="3"/>
    <s v="MP3"/>
    <s v="Independent_Creator"/>
    <x v="1"/>
    <n v="38.5"/>
    <x v="1"/>
    <n v="95.3"/>
    <x v="1"/>
    <x v="2"/>
    <s v="Human Content"/>
    <n v="0.84"/>
    <s v="Yes"/>
    <n v="2419969"/>
    <s v="Medium"/>
    <n v="4213230"/>
    <s v="Moderately Viral"/>
    <s v="Human_Reviewer"/>
    <x v="1"/>
  </r>
  <r>
    <s v="RD-0486"/>
    <x v="10"/>
    <x v="0"/>
    <x v="0"/>
    <s v="MP3"/>
    <s v="Celebrity"/>
    <x v="2"/>
    <n v="65.8"/>
    <x v="1"/>
    <n v="97.8"/>
    <x v="1"/>
    <x v="1"/>
    <s v="AI Generated"/>
    <n v="0.13600000000000001"/>
    <s v="Yes"/>
    <n v="3488548"/>
    <s v="Medium"/>
    <n v="15302282"/>
    <s v="Highly Viral"/>
    <s v="Partner_API"/>
    <x v="2"/>
  </r>
  <r>
    <s v="RD-0487"/>
    <x v="148"/>
    <x v="6"/>
    <x v="3"/>
    <s v="PDF"/>
    <s v="Verified_Org"/>
    <x v="6"/>
    <n v="45"/>
    <x v="1"/>
    <n v="67.400000000000006"/>
    <x v="0"/>
    <x v="2"/>
    <s v="Human Content"/>
    <n v="0.186"/>
    <s v="Partial"/>
    <n v="62427"/>
    <s v="Low"/>
    <n v="19392898"/>
    <s v="Highly Viral"/>
    <s v="Automated_System"/>
    <x v="1"/>
  </r>
  <r>
    <s v="RD-0488"/>
    <x v="225"/>
    <x v="2"/>
    <x v="3"/>
    <s v="WAV"/>
    <s v="News_Outlet"/>
    <x v="5"/>
    <n v="56.8"/>
    <x v="1"/>
    <n v="84.5"/>
    <x v="1"/>
    <x v="2"/>
    <s v="Human Content"/>
    <n v="0.113"/>
    <s v="No"/>
    <n v="671718"/>
    <s v="Low"/>
    <n v="4768164"/>
    <s v="Moderately Viral"/>
    <s v="Partner_API"/>
    <x v="1"/>
  </r>
  <r>
    <s v="RD-0489"/>
    <x v="276"/>
    <x v="5"/>
    <x v="4"/>
    <s v="MP4"/>
    <s v="Verified_Org"/>
    <x v="1"/>
    <n v="8.8000000000000007"/>
    <x v="0"/>
    <n v="73.2"/>
    <x v="1"/>
    <x v="0"/>
    <s v="Human Content"/>
    <n v="0.74199999999999999"/>
    <s v="Partial"/>
    <n v="655098"/>
    <s v="Low"/>
    <n v="18092956"/>
    <s v="Highly Viral"/>
    <s v="Partner_API"/>
    <x v="0"/>
  </r>
  <r>
    <s v="RD-0490"/>
    <x v="91"/>
    <x v="1"/>
    <x v="1"/>
    <s v="JPEG"/>
    <s v="Anonymous"/>
    <x v="2"/>
    <n v="51.3"/>
    <x v="1"/>
    <n v="73"/>
    <x v="1"/>
    <x v="2"/>
    <s v="Human Content"/>
    <n v="0.73399999999999999"/>
    <s v="No"/>
    <n v="2960561"/>
    <s v="Medium"/>
    <n v="9886237"/>
    <s v="Highly Viral"/>
    <s v="Community_Report"/>
    <x v="1"/>
  </r>
  <r>
    <s v="RD-0491"/>
    <x v="240"/>
    <x v="1"/>
    <x v="4"/>
    <s v="GIF"/>
    <s v="Celebrity"/>
    <x v="6"/>
    <n v="56.4"/>
    <x v="1"/>
    <n v="53"/>
    <x v="0"/>
    <x v="2"/>
    <s v="Human Content"/>
    <n v="0.47299999999999998"/>
    <s v="Yes"/>
    <n v="4805597"/>
    <s v="High"/>
    <n v="1732575"/>
    <s v="Moderately Viral"/>
    <s v="Community_Report"/>
    <x v="1"/>
  </r>
  <r>
    <s v="RD-0492"/>
    <x v="277"/>
    <x v="1"/>
    <x v="1"/>
    <s v="WEBM"/>
    <s v="News_Outlet"/>
    <x v="0"/>
    <n v="50.6"/>
    <x v="1"/>
    <n v="91.7"/>
    <x v="1"/>
    <x v="2"/>
    <s v="Human Content"/>
    <n v="0.27800000000000002"/>
    <s v="Yes"/>
    <n v="2357063"/>
    <s v="Medium"/>
    <n v="9235253"/>
    <s v="Highly Viral"/>
    <s v="Community_Report"/>
    <x v="1"/>
  </r>
  <r>
    <s v="RD-0493"/>
    <x v="278"/>
    <x v="0"/>
    <x v="4"/>
    <s v="MP3"/>
    <s v="Verified_Org"/>
    <x v="3"/>
    <n v="15.1"/>
    <x v="0"/>
    <n v="71.900000000000006"/>
    <x v="1"/>
    <x v="0"/>
    <s v="Human Content"/>
    <n v="0.80800000000000005"/>
    <s v="No"/>
    <n v="1981454"/>
    <s v="Medium"/>
    <n v="16271665"/>
    <s v="Highly Viral"/>
    <s v="Human_Reviewer"/>
    <x v="0"/>
  </r>
  <r>
    <s v="RD-0494"/>
    <x v="161"/>
    <x v="1"/>
    <x v="1"/>
    <s v="MP4"/>
    <s v="Independent_Creator"/>
    <x v="1"/>
    <n v="93.4"/>
    <x v="2"/>
    <n v="57.6"/>
    <x v="0"/>
    <x v="1"/>
    <s v="AI Generated"/>
    <n v="0.496"/>
    <s v="No"/>
    <n v="3214337"/>
    <s v="Medium"/>
    <n v="7984691"/>
    <s v="Highly Viral"/>
    <s v="Automated_System"/>
    <x v="2"/>
  </r>
  <r>
    <s v="RD-0495"/>
    <x v="73"/>
    <x v="6"/>
    <x v="2"/>
    <s v="WAV"/>
    <s v="News_Outlet"/>
    <x v="3"/>
    <n v="26.4"/>
    <x v="0"/>
    <n v="90.2"/>
    <x v="1"/>
    <x v="0"/>
    <s v="Human Content"/>
    <n v="5.2999999999999999E-2"/>
    <s v="No"/>
    <n v="3345013"/>
    <s v="Medium"/>
    <n v="15980192"/>
    <s v="Highly Viral"/>
    <s v="Community_Report"/>
    <x v="0"/>
  </r>
  <r>
    <s v="RD-0496"/>
    <x v="279"/>
    <x v="4"/>
    <x v="3"/>
    <s v="PDF"/>
    <s v="Anonymous"/>
    <x v="4"/>
    <n v="14.5"/>
    <x v="0"/>
    <n v="92.6"/>
    <x v="1"/>
    <x v="0"/>
    <s v="Human Content"/>
    <n v="1.2E-2"/>
    <s v="No"/>
    <n v="3204582"/>
    <s v="Medium"/>
    <n v="10593252"/>
    <s v="Highly Viral"/>
    <s v="Partner_API"/>
    <x v="0"/>
  </r>
  <r>
    <s v="RD-0497"/>
    <x v="72"/>
    <x v="1"/>
    <x v="0"/>
    <s v="WAV"/>
    <s v="Anonymous"/>
    <x v="1"/>
    <n v="91.8"/>
    <x v="2"/>
    <n v="92.1"/>
    <x v="1"/>
    <x v="1"/>
    <s v="AI Generated"/>
    <n v="0.33500000000000002"/>
    <s v="No"/>
    <n v="824505"/>
    <s v="Low"/>
    <n v="8568420"/>
    <s v="Highly Viral"/>
    <s v="Partner_API"/>
    <x v="2"/>
  </r>
  <r>
    <s v="RD-0498"/>
    <x v="280"/>
    <x v="5"/>
    <x v="2"/>
    <s v="PNG"/>
    <s v="Verified_Org"/>
    <x v="4"/>
    <n v="67.8"/>
    <x v="1"/>
    <n v="98.7"/>
    <x v="1"/>
    <x v="1"/>
    <s v="AI Generated"/>
    <n v="0.313"/>
    <s v="Yes"/>
    <n v="71203"/>
    <s v="Low"/>
    <n v="2280589"/>
    <s v="Moderately Viral"/>
    <s v="AI_Model"/>
    <x v="2"/>
  </r>
  <r>
    <s v="RD-0499"/>
    <x v="30"/>
    <x v="0"/>
    <x v="4"/>
    <s v="MP4"/>
    <s v="Celebrity"/>
    <x v="2"/>
    <n v="35.200000000000003"/>
    <x v="1"/>
    <n v="85.5"/>
    <x v="1"/>
    <x v="2"/>
    <s v="Human Content"/>
    <n v="0.252"/>
    <s v="Yes"/>
    <n v="198913"/>
    <s v="Low"/>
    <n v="3085537"/>
    <s v="Moderately Viral"/>
    <s v="AI_Model"/>
    <x v="1"/>
  </r>
  <r>
    <s v="RD-0500"/>
    <x v="281"/>
    <x v="4"/>
    <x v="4"/>
    <s v="MP4"/>
    <s v="Celebrity"/>
    <x v="5"/>
    <n v="8.6"/>
    <x v="0"/>
    <n v="79.599999999999994"/>
    <x v="1"/>
    <x v="0"/>
    <s v="Human Content"/>
    <n v="0.376"/>
    <s v="Partial"/>
    <n v="4748629"/>
    <s v="High"/>
    <n v="6200305"/>
    <s v="Highly Viral"/>
    <s v="AI_Mode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4B3CF-A9B1-40F7-964B-ECE6412B0D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72:C74" firstHeaderRow="0" firstDataRow="1" firstDataCol="1"/>
  <pivotFields count="23">
    <pivotField dataField="1"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axis="axisRow" showAll="0">
      <items count="8">
        <item h="1" x="3"/>
        <item x="4"/>
        <item h="1" x="6"/>
        <item h="1" x="1"/>
        <item h="1" x="5"/>
        <item h="1" x="0"/>
        <item h="1" x="2"/>
        <item t="default"/>
      </items>
    </pivotField>
    <pivotField dataField="1" numFmtId="2"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1"/>
    </i>
    <i t="grand">
      <x/>
    </i>
  </rowItems>
  <colFields count="1">
    <field x="-2"/>
  </colFields>
  <colItems count="2">
    <i>
      <x/>
    </i>
    <i i="1">
      <x v="1"/>
    </i>
  </colItems>
  <dataFields count="2">
    <dataField name="Average of Fake_Probability(%)" fld="7" subtotal="average" baseField="6" baseItem="0" numFmtId="2"/>
    <dataField name="Count of Record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426F41-976F-45BF-AB32-43033EF81C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I Generated">
  <location ref="A53:B56" firstHeaderRow="1" firstDataRow="1" firstDataCol="1"/>
  <pivotFields count="23">
    <pivotField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numFmtId="2"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2"/>
    </i>
    <i t="grand">
      <x/>
    </i>
  </rowItems>
  <colItems count="1">
    <i/>
  </colItems>
  <dataFields count="1">
    <dataField name="Average of Viral_Reach" fld="17" subtotal="average" baseField="1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835A4D-4E30-4CF5-898A-FCFFBE3C22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Verified Label">
  <location ref="A2:B4" firstHeaderRow="1" firstDataRow="1" firstDataCol="1"/>
  <pivotFields count="23">
    <pivotField dataField="1"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numFmtId="2"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2">
    <i>
      <x v="2"/>
    </i>
    <i t="grand">
      <x/>
    </i>
  </rowItems>
  <colItems count="1">
    <i/>
  </colItems>
  <dataFields count="1">
    <dataField name="Count of Record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 chart="0" format="3">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0" count="1" selected="0">
            <x v="0"/>
          </reference>
        </references>
      </pivotArea>
    </chartFormat>
    <chartFormat chart="4" format="10">
      <pivotArea type="data" outline="0" fieldPosition="0">
        <references count="2">
          <reference field="4294967294" count="1" selected="0">
            <x v="0"/>
          </reference>
          <reference field="20" count="1" selected="0">
            <x v="1"/>
          </reference>
        </references>
      </pivotArea>
    </chartFormat>
    <chartFormat chart="4" format="1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98E32-0CD3-43F2-A816-4AAD2ADF2D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ntent Type">
  <location ref="A104:C110" firstHeaderRow="0" firstDataRow="1" firstDataCol="1"/>
  <pivotFields count="23">
    <pivotField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axis="axisRow"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dataField="1" numFmtId="2" showAll="0"/>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Average of Fake_Probability(%)" fld="7" subtotal="average" baseField="3" baseItem="0" numFmtId="2"/>
    <dataField name="Average of Engagement_Count" fld="15" subtotal="average"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F513B-24EE-4CC3-8BE0-824926EAB9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nfidence Level">
  <location ref="A90:B93" firstHeaderRow="1" firstDataRow="1" firstDataCol="1"/>
  <pivotFields count="23">
    <pivotField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dataField="1" numFmtId="2" showAll="0"/>
    <pivotField showAll="0"/>
    <pivotField showAll="0"/>
    <pivotField axis="axisRow" showAll="0">
      <items count="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Average of Fake_Probability(%)" fld="7" subtotal="average" baseField="1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818A34-24E7-4176-B916-D7D4B82F78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tform">
  <location ref="A17:B24" firstHeaderRow="1" firstDataRow="1" firstDataCol="1"/>
  <pivotFields count="23">
    <pivotField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axis="axisRow"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dataField="1" numFmtId="2"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4"/>
    </i>
    <i>
      <x v="5"/>
    </i>
    <i>
      <x v="6"/>
    </i>
    <i t="grand">
      <x/>
    </i>
  </rowItems>
  <colItems count="1">
    <i/>
  </colItems>
  <dataFields count="1">
    <dataField name="Average of Fake_Probability(%)" fld="7"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1D4DC3-C9F9-45B0-95CC-CE9E094854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A121:B133" firstHeaderRow="1" firstDataRow="1" firstDataCol="1"/>
  <pivotFields count="23">
    <pivotField showAll="0"/>
    <pivotField axis="axisRow"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dataField="1" numFmtId="2"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items count="4">
        <item h="1" x="2"/>
        <item h="1"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
  </rowFields>
  <rowItems count="12">
    <i>
      <x v="1"/>
    </i>
    <i>
      <x v="2"/>
    </i>
    <i>
      <x v="3"/>
    </i>
    <i>
      <x v="4"/>
    </i>
    <i>
      <x v="6"/>
    </i>
    <i>
      <x v="7"/>
    </i>
    <i>
      <x v="8"/>
    </i>
    <i>
      <x v="9"/>
    </i>
    <i>
      <x v="10"/>
    </i>
    <i>
      <x v="11"/>
    </i>
    <i>
      <x v="12"/>
    </i>
    <i t="grand">
      <x/>
    </i>
  </rowItems>
  <colItems count="1">
    <i/>
  </colItems>
  <dataFields count="1">
    <dataField name="Average of Fake_Probability(%)" fld="7" subtotal="average" baseField="22" baseItem="1"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74A51-D73D-4D57-ADB1-E7F44F8485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Fake Risk Category">
  <location ref="A36:C38" firstHeaderRow="0" firstDataRow="1" firstDataCol="1"/>
  <pivotFields count="23">
    <pivotField showAll="0"/>
    <pivotField numFmtId="14" showAll="0">
      <items count="283">
        <item x="146"/>
        <item x="212"/>
        <item x="93"/>
        <item x="253"/>
        <item x="10"/>
        <item x="216"/>
        <item x="278"/>
        <item x="149"/>
        <item x="12"/>
        <item x="173"/>
        <item x="47"/>
        <item x="126"/>
        <item x="268"/>
        <item x="1"/>
        <item x="159"/>
        <item x="70"/>
        <item x="261"/>
        <item x="137"/>
        <item x="258"/>
        <item x="53"/>
        <item x="9"/>
        <item x="94"/>
        <item x="155"/>
        <item x="267"/>
        <item x="189"/>
        <item x="254"/>
        <item x="17"/>
        <item x="257"/>
        <item x="208"/>
        <item x="112"/>
        <item x="34"/>
        <item x="15"/>
        <item x="23"/>
        <item x="169"/>
        <item x="188"/>
        <item x="21"/>
        <item x="166"/>
        <item x="239"/>
        <item x="275"/>
        <item x="60"/>
        <item x="51"/>
        <item x="3"/>
        <item x="164"/>
        <item x="194"/>
        <item x="99"/>
        <item x="266"/>
        <item x="95"/>
        <item x="272"/>
        <item x="180"/>
        <item x="25"/>
        <item x="147"/>
        <item x="48"/>
        <item x="122"/>
        <item x="13"/>
        <item x="85"/>
        <item x="64"/>
        <item x="131"/>
        <item x="114"/>
        <item x="138"/>
        <item x="8"/>
        <item x="128"/>
        <item x="28"/>
        <item x="104"/>
        <item x="206"/>
        <item x="248"/>
        <item x="24"/>
        <item x="185"/>
        <item x="124"/>
        <item x="6"/>
        <item x="240"/>
        <item x="168"/>
        <item x="211"/>
        <item x="224"/>
        <item x="86"/>
        <item x="162"/>
        <item x="61"/>
        <item x="217"/>
        <item x="153"/>
        <item x="256"/>
        <item x="129"/>
        <item x="106"/>
        <item x="246"/>
        <item x="100"/>
        <item x="145"/>
        <item x="174"/>
        <item x="273"/>
        <item x="96"/>
        <item x="199"/>
        <item x="52"/>
        <item x="46"/>
        <item x="42"/>
        <item x="218"/>
        <item x="58"/>
        <item x="31"/>
        <item x="76"/>
        <item x="41"/>
        <item x="68"/>
        <item x="225"/>
        <item x="163"/>
        <item x="251"/>
        <item x="26"/>
        <item x="226"/>
        <item x="271"/>
        <item x="236"/>
        <item x="235"/>
        <item x="69"/>
        <item x="160"/>
        <item x="196"/>
        <item x="179"/>
        <item x="83"/>
        <item x="219"/>
        <item x="276"/>
        <item x="233"/>
        <item x="140"/>
        <item x="62"/>
        <item x="274"/>
        <item x="243"/>
        <item x="20"/>
        <item x="181"/>
        <item x="156"/>
        <item x="250"/>
        <item x="123"/>
        <item x="91"/>
        <item x="247"/>
        <item x="234"/>
        <item x="136"/>
        <item x="157"/>
        <item x="192"/>
        <item x="197"/>
        <item x="32"/>
        <item x="170"/>
        <item x="142"/>
        <item x="244"/>
        <item x="172"/>
        <item x="74"/>
        <item x="242"/>
        <item x="210"/>
        <item x="45"/>
        <item x="130"/>
        <item x="29"/>
        <item x="75"/>
        <item x="191"/>
        <item x="4"/>
        <item x="108"/>
        <item x="78"/>
        <item x="237"/>
        <item x="198"/>
        <item x="110"/>
        <item x="105"/>
        <item x="203"/>
        <item x="19"/>
        <item x="186"/>
        <item x="177"/>
        <item x="209"/>
        <item x="81"/>
        <item x="280"/>
        <item x="222"/>
        <item x="259"/>
        <item x="119"/>
        <item x="115"/>
        <item x="7"/>
        <item x="213"/>
        <item x="98"/>
        <item x="103"/>
        <item x="30"/>
        <item x="232"/>
        <item x="66"/>
        <item x="158"/>
        <item x="205"/>
        <item x="260"/>
        <item x="148"/>
        <item x="241"/>
        <item x="116"/>
        <item x="150"/>
        <item x="77"/>
        <item x="18"/>
        <item x="167"/>
        <item x="204"/>
        <item x="2"/>
        <item x="56"/>
        <item x="87"/>
        <item x="44"/>
        <item x="223"/>
        <item x="231"/>
        <item x="63"/>
        <item x="171"/>
        <item x="59"/>
        <item x="263"/>
        <item x="139"/>
        <item x="37"/>
        <item x="279"/>
        <item x="201"/>
        <item x="54"/>
        <item x="238"/>
        <item x="127"/>
        <item x="184"/>
        <item x="133"/>
        <item x="165"/>
        <item x="38"/>
        <item x="220"/>
        <item x="262"/>
        <item x="132"/>
        <item x="11"/>
        <item x="50"/>
        <item x="135"/>
        <item x="195"/>
        <item x="215"/>
        <item x="141"/>
        <item x="161"/>
        <item x="154"/>
        <item x="269"/>
        <item x="214"/>
        <item x="67"/>
        <item x="270"/>
        <item x="36"/>
        <item x="227"/>
        <item x="65"/>
        <item x="152"/>
        <item x="97"/>
        <item x="90"/>
        <item x="193"/>
        <item x="84"/>
        <item x="118"/>
        <item x="16"/>
        <item x="92"/>
        <item x="200"/>
        <item x="245"/>
        <item x="144"/>
        <item x="202"/>
        <item x="49"/>
        <item x="281"/>
        <item x="175"/>
        <item x="151"/>
        <item x="221"/>
        <item x="33"/>
        <item x="207"/>
        <item x="39"/>
        <item x="125"/>
        <item x="187"/>
        <item x="107"/>
        <item x="22"/>
        <item x="43"/>
        <item x="277"/>
        <item x="40"/>
        <item x="183"/>
        <item x="55"/>
        <item x="111"/>
        <item x="88"/>
        <item x="5"/>
        <item x="73"/>
        <item x="0"/>
        <item x="109"/>
        <item x="101"/>
        <item x="102"/>
        <item x="228"/>
        <item x="229"/>
        <item x="178"/>
        <item x="134"/>
        <item x="113"/>
        <item x="265"/>
        <item x="249"/>
        <item x="121"/>
        <item x="143"/>
        <item x="14"/>
        <item x="176"/>
        <item x="79"/>
        <item x="117"/>
        <item x="252"/>
        <item x="72"/>
        <item x="230"/>
        <item x="89"/>
        <item x="255"/>
        <item x="82"/>
        <item x="71"/>
        <item x="35"/>
        <item x="80"/>
        <item x="57"/>
        <item x="120"/>
        <item x="27"/>
        <item x="190"/>
        <item x="182"/>
        <item x="264"/>
        <item t="default"/>
      </items>
    </pivotField>
    <pivotField showAll="0">
      <items count="9">
        <item x="1"/>
        <item x="6"/>
        <item x="3"/>
        <item x="5"/>
        <item x="7"/>
        <item x="2"/>
        <item x="0"/>
        <item x="4"/>
        <item t="default"/>
      </items>
    </pivotField>
    <pivotField showAll="0">
      <items count="6">
        <item x="1"/>
        <item x="4"/>
        <item x="0"/>
        <item x="3"/>
        <item x="2"/>
        <item t="default"/>
      </items>
    </pivotField>
    <pivotField showAll="0"/>
    <pivotField showAll="0"/>
    <pivotField showAll="0">
      <items count="8">
        <item h="1" x="3"/>
        <item x="4"/>
        <item h="1" x="6"/>
        <item h="1" x="1"/>
        <item h="1" x="5"/>
        <item h="1" x="0"/>
        <item h="1" x="2"/>
        <item t="default"/>
      </items>
    </pivotField>
    <pivotField numFmtId="2" showAll="0"/>
    <pivotField axis="axisRow"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dataField="1" showAll="0"/>
    <pivotField showAll="0"/>
    <pivotField showAll="0"/>
    <pivotField showAll="0">
      <items count="4">
        <item h="1" x="2"/>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2"/>
    </i>
    <i t="grand">
      <x/>
    </i>
  </rowItems>
  <colFields count="1">
    <field x="-2"/>
  </colFields>
  <colItems count="2">
    <i>
      <x/>
    </i>
    <i i="1">
      <x v="1"/>
    </i>
  </colItems>
  <dataFields count="2">
    <dataField name="Average of Engagement_Count" fld="15" subtotal="average" baseField="8" baseItem="0"/>
    <dataField name="Average of Viral_Reach" fld="17" subtotal="average" baseField="8"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9036793-B24D-4337-91D6-2568EE9ACAD7}" sourceName="Platform">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789783640">
      <items count="8">
        <i x="1" s="1"/>
        <i x="6" s="1"/>
        <i x="3" s="1"/>
        <i x="7" s="1"/>
        <i x="2" s="1"/>
        <i x="0" s="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Generated" xr10:uid="{A4779FDA-019D-419E-8CDF-D7A7E3A8EA29}" sourceName="AI_Generated">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89783640">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0A635F-ECB9-4D1C-AD01-5E3F43B68418}" sourceName="Region">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789783640">
      <items count="7">
        <i x="3"/>
        <i x="4" s="1"/>
        <i x="6"/>
        <i x="1"/>
        <i x="5"/>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1BB2CD6B-3EC9-4B40-B4E2-3BE2B0E6CF41}" sourceName="Content_Typ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789783640">
      <items count="5">
        <i x="1" s="1"/>
        <i x="4"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ified_Label" xr10:uid="{C137FFF6-A6C1-4E23-967F-512249222CB6}" sourceName="Verified_Label">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789783640">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38056C9-2CE8-4B19-AAF4-C8132183885A}" cache="Slicer_Platform" caption="Platform" rowHeight="234950"/>
  <slicer name="AI_Generated" xr10:uid="{6330C01F-087D-4708-974B-301EA17B56B0}" cache="Slicer_AI_Generated" caption="AI_Generated" rowHeight="234950"/>
  <slicer name="Region" xr10:uid="{EDB1C02B-EC55-4DE8-9851-F2101A912296}" cache="Slicer_Region" caption="Region" rowHeight="234950"/>
  <slicer name="Content_Type" xr10:uid="{B2C81CF1-0C0B-443A-AF03-CC27A56E37F5}" cache="Slicer_Content_Type" caption="Content_Type" rowHeight="234950"/>
  <slicer name="Verified_Label" xr10:uid="{D6628CA2-A80D-4B60-95E9-27200707B3EE}" cache="Slicer_Verified_Label" caption="Verified_Lab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D07BEFDE-BDF8-45AF-BEA5-4C5A3A8DD143}" cache="Slicer_Platform" caption="Platform" style="SlicerStyleDark6" rowHeight="234950"/>
  <slicer name="AI_Generated 1" xr10:uid="{D6660C48-0376-416C-BFFA-38D41A713DE7}" cache="Slicer_AI_Generated" caption="AI_Generated" style="SlicerStyleDark4" rowHeight="234950"/>
  <slicer name="Region 1" xr10:uid="{3A024CA4-8A7E-4D88-B336-3EB8664CBA9D}" cache="Slicer_Region" caption="Region" style="SlicerStyleDark1" rowHeight="234950"/>
  <slicer name="Content_Type 1" xr10:uid="{32B2394F-9C86-4A12-A3DB-2CBF7F96BA3E}" cache="Slicer_Content_Type" caption="Content_Type" style="SlicerStyleDark5" rowHeight="234950"/>
  <slicer name="Verified_Label 1" xr10:uid="{A05B499A-B926-40E0-B05D-143EA2572053}" cache="Slicer_Verified_Label" caption="Verified_Label"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2"/>
  <sheetViews>
    <sheetView zoomScale="76" workbookViewId="0">
      <selection activeCell="I12" sqref="I12"/>
    </sheetView>
  </sheetViews>
  <sheetFormatPr defaultRowHeight="14.4" x14ac:dyDescent="0.3"/>
  <cols>
    <col min="1" max="1" width="12.109375" customWidth="1"/>
    <col min="2" max="2" width="11.109375" style="10" customWidth="1"/>
    <col min="3" max="3" width="10.77734375" customWidth="1"/>
    <col min="4" max="4" width="9" customWidth="1"/>
    <col min="5" max="5" width="13" customWidth="1"/>
    <col min="6" max="6" width="18.109375" customWidth="1"/>
    <col min="7" max="7" width="12.88671875" customWidth="1"/>
    <col min="8" max="8" width="11" style="15" customWidth="1"/>
    <col min="9" max="9" width="15.6640625" customWidth="1"/>
    <col min="10" max="10" width="10.21875" customWidth="1"/>
    <col min="11" max="11" width="17.5546875" customWidth="1"/>
    <col min="12" max="12" width="9.5546875" customWidth="1"/>
    <col min="13" max="13" width="12.33203125" customWidth="1"/>
    <col min="14" max="14" width="9.21875" customWidth="1"/>
    <col min="15" max="15" width="9.88671875" customWidth="1"/>
    <col min="16" max="16" width="10" customWidth="1"/>
    <col min="17" max="17" width="14.88671875" customWidth="1"/>
    <col min="18" max="18" width="10.44140625" customWidth="1"/>
    <col min="19" max="19" width="12.33203125" customWidth="1"/>
    <col min="20" max="20" width="19.44140625" customWidth="1"/>
    <col min="21" max="21" width="15.33203125" customWidth="1"/>
  </cols>
  <sheetData>
    <row r="1" spans="1:21" ht="39.6" x14ac:dyDescent="0.3">
      <c r="A1" s="1" t="s">
        <v>0</v>
      </c>
      <c r="B1" s="7" t="s">
        <v>1</v>
      </c>
      <c r="C1" s="1" t="s">
        <v>2</v>
      </c>
      <c r="D1" s="1" t="s">
        <v>3</v>
      </c>
      <c r="E1" s="1" t="s">
        <v>4</v>
      </c>
      <c r="F1" s="1" t="s">
        <v>5</v>
      </c>
      <c r="G1" s="1" t="s">
        <v>6</v>
      </c>
      <c r="H1" s="12" t="s">
        <v>7</v>
      </c>
      <c r="I1" s="11" t="s">
        <v>562</v>
      </c>
      <c r="J1" s="1" t="s">
        <v>8</v>
      </c>
      <c r="K1" s="11" t="s">
        <v>563</v>
      </c>
      <c r="L1" s="1" t="s">
        <v>9</v>
      </c>
      <c r="M1" s="11" t="s">
        <v>564</v>
      </c>
      <c r="N1" s="1" t="s">
        <v>10</v>
      </c>
      <c r="O1" s="1" t="s">
        <v>11</v>
      </c>
      <c r="P1" s="1" t="s">
        <v>12</v>
      </c>
      <c r="Q1" s="11" t="s">
        <v>566</v>
      </c>
      <c r="R1" s="1" t="s">
        <v>13</v>
      </c>
      <c r="S1" s="11" t="s">
        <v>565</v>
      </c>
      <c r="T1" s="1" t="s">
        <v>14</v>
      </c>
      <c r="U1" s="1" t="s">
        <v>15</v>
      </c>
    </row>
    <row r="2" spans="1:21" x14ac:dyDescent="0.3">
      <c r="A2" s="2" t="s">
        <v>16</v>
      </c>
      <c r="B2" s="8">
        <v>45619</v>
      </c>
      <c r="C2" s="2" t="s">
        <v>17</v>
      </c>
      <c r="D2" s="2" t="s">
        <v>18</v>
      </c>
      <c r="E2" s="2" t="s">
        <v>19</v>
      </c>
      <c r="F2" s="2" t="s">
        <v>20</v>
      </c>
      <c r="G2" s="2" t="s">
        <v>21</v>
      </c>
      <c r="H2" s="13">
        <v>14</v>
      </c>
      <c r="I2" s="2" t="str">
        <f>IF(H2&gt;60,"High Risk",IF(H2&lt;60,"Moderate Risk"))</f>
        <v>Moderate Risk</v>
      </c>
      <c r="J2" s="2">
        <v>55</v>
      </c>
      <c r="K2" s="2" t="str">
        <f>IF(J2&gt;70,"High Confidence",IF(J2&gt;30,"Moderate Confidence",IF(J2&lt;30,"Low Confidence")))</f>
        <v>Moderate Confidence</v>
      </c>
      <c r="L2" s="2" t="s">
        <v>22</v>
      </c>
      <c r="M2" s="2" t="str">
        <f>IF(L2="Yes","AI Generated","Human Content")</f>
        <v>Human Content</v>
      </c>
      <c r="N2" s="2">
        <v>0.74099999999999999</v>
      </c>
      <c r="O2" s="2" t="s">
        <v>23</v>
      </c>
      <c r="P2" s="2">
        <v>729395</v>
      </c>
      <c r="Q2" s="2" t="str">
        <f>IF(P2&gt;4000000,"High",IF(P2&gt;1000000,"Medium",IF(P2&lt;1000000,"Low")))</f>
        <v>Low</v>
      </c>
      <c r="R2" s="2">
        <v>19814140</v>
      </c>
      <c r="S2" s="2" t="str">
        <f>IF(R2&gt;5000000,"Highly Viral",IF(R2&gt;1000000,"Moderately Viral",IF(R2&lt;500000,"Low Viral")))</f>
        <v>Highly Viral</v>
      </c>
      <c r="T2" s="2" t="s">
        <v>24</v>
      </c>
      <c r="U2" s="3" t="s">
        <v>25</v>
      </c>
    </row>
    <row r="3" spans="1:21" x14ac:dyDescent="0.3">
      <c r="A3" s="4" t="s">
        <v>26</v>
      </c>
      <c r="B3" s="9">
        <v>45308</v>
      </c>
      <c r="C3" s="4" t="s">
        <v>27</v>
      </c>
      <c r="D3" s="4" t="s">
        <v>18</v>
      </c>
      <c r="E3" s="4" t="s">
        <v>28</v>
      </c>
      <c r="F3" s="4" t="s">
        <v>20</v>
      </c>
      <c r="G3" s="4" t="s">
        <v>29</v>
      </c>
      <c r="H3" s="14">
        <v>60.2</v>
      </c>
      <c r="I3" s="2" t="str">
        <f t="shared" ref="I3:I66" si="0">IF(H3&gt;60,"High Risk",IF(H3&lt;60,"Moderate Risk"))</f>
        <v>High Risk</v>
      </c>
      <c r="J3" s="4">
        <v>77.5</v>
      </c>
      <c r="K3" s="2" t="str">
        <f t="shared" ref="K3:K66" si="1">IF(J3&gt;70,"High Confidence",IF(J3&gt;30,"Moderate Confidence",IF(J3&lt;30,"Low Confidence")))</f>
        <v>High Confidence</v>
      </c>
      <c r="L3" s="4" t="s">
        <v>30</v>
      </c>
      <c r="M3" s="2" t="str">
        <f t="shared" ref="M3:M66" si="2">IF(L3="Yes","AI Generated","Human Content")</f>
        <v>AI Generated</v>
      </c>
      <c r="N3" s="4">
        <v>0.71599999999999997</v>
      </c>
      <c r="O3" s="4" t="s">
        <v>23</v>
      </c>
      <c r="P3" s="4">
        <v>4571400</v>
      </c>
      <c r="Q3" s="2" t="str">
        <f t="shared" ref="Q3:Q66" si="3">IF(P3&gt;4000000,"High",IF(P3&gt;1000000,"Medium",IF(P3&lt;1000000,"Low")))</f>
        <v>High</v>
      </c>
      <c r="R3" s="4">
        <v>14077249</v>
      </c>
      <c r="S3" s="2" t="str">
        <f t="shared" ref="S3:S66" si="4">IF(R3&gt;5000000,"Highly Viral",IF(R3&gt;1000000,"Moderately Viral",IF(R3&lt;500000,"Low Viral")))</f>
        <v>Highly Viral</v>
      </c>
      <c r="T3" s="4" t="s">
        <v>31</v>
      </c>
      <c r="U3" s="5" t="s">
        <v>32</v>
      </c>
    </row>
    <row r="4" spans="1:21" x14ac:dyDescent="0.3">
      <c r="A4" s="2" t="s">
        <v>33</v>
      </c>
      <c r="B4" s="8">
        <v>45521</v>
      </c>
      <c r="C4" s="2" t="s">
        <v>34</v>
      </c>
      <c r="D4" s="2" t="s">
        <v>18</v>
      </c>
      <c r="E4" s="2" t="s">
        <v>35</v>
      </c>
      <c r="F4" s="2" t="s">
        <v>36</v>
      </c>
      <c r="G4" s="2" t="s">
        <v>37</v>
      </c>
      <c r="H4" s="13">
        <v>34</v>
      </c>
      <c r="I4" s="2" t="str">
        <f t="shared" si="0"/>
        <v>Moderate Risk</v>
      </c>
      <c r="J4" s="2">
        <v>57.6</v>
      </c>
      <c r="K4" s="2" t="str">
        <f t="shared" si="1"/>
        <v>Moderate Confidence</v>
      </c>
      <c r="L4" s="2" t="s">
        <v>22</v>
      </c>
      <c r="M4" s="2" t="str">
        <f t="shared" si="2"/>
        <v>Human Content</v>
      </c>
      <c r="N4" s="2">
        <v>0.95699999999999996</v>
      </c>
      <c r="O4" s="2" t="s">
        <v>22</v>
      </c>
      <c r="P4" s="2">
        <v>857501</v>
      </c>
      <c r="Q4" s="2" t="str">
        <f t="shared" si="3"/>
        <v>Low</v>
      </c>
      <c r="R4" s="2">
        <v>3112534</v>
      </c>
      <c r="S4" s="2" t="str">
        <f t="shared" si="4"/>
        <v>Moderately Viral</v>
      </c>
      <c r="T4" s="2" t="s">
        <v>24</v>
      </c>
      <c r="U4" s="3" t="s">
        <v>25</v>
      </c>
    </row>
    <row r="5" spans="1:21" x14ac:dyDescent="0.3">
      <c r="A5" s="4" t="s">
        <v>38</v>
      </c>
      <c r="B5" s="9">
        <v>45341</v>
      </c>
      <c r="C5" s="4" t="s">
        <v>39</v>
      </c>
      <c r="D5" s="4" t="s">
        <v>40</v>
      </c>
      <c r="E5" s="4" t="s">
        <v>19</v>
      </c>
      <c r="F5" s="4" t="s">
        <v>41</v>
      </c>
      <c r="G5" s="4" t="s">
        <v>42</v>
      </c>
      <c r="H5" s="14">
        <v>45.9</v>
      </c>
      <c r="I5" s="2" t="str">
        <f t="shared" si="0"/>
        <v>Moderate Risk</v>
      </c>
      <c r="J5" s="4">
        <v>56.1</v>
      </c>
      <c r="K5" s="2" t="str">
        <f t="shared" si="1"/>
        <v>Moderate Confidence</v>
      </c>
      <c r="L5" s="4" t="s">
        <v>43</v>
      </c>
      <c r="M5" s="2" t="str">
        <f t="shared" si="2"/>
        <v>Human Content</v>
      </c>
      <c r="N5" s="4">
        <v>0.92200000000000004</v>
      </c>
      <c r="O5" s="4" t="s">
        <v>30</v>
      </c>
      <c r="P5" s="4">
        <v>4630952</v>
      </c>
      <c r="Q5" s="2" t="str">
        <f t="shared" si="3"/>
        <v>High</v>
      </c>
      <c r="R5" s="4">
        <v>9837930</v>
      </c>
      <c r="S5" s="2" t="str">
        <f t="shared" si="4"/>
        <v>Highly Viral</v>
      </c>
      <c r="T5" s="4" t="s">
        <v>44</v>
      </c>
      <c r="U5" s="5" t="s">
        <v>32</v>
      </c>
    </row>
    <row r="6" spans="1:21" x14ac:dyDescent="0.3">
      <c r="A6" s="2" t="s">
        <v>45</v>
      </c>
      <c r="B6" s="8">
        <v>45477</v>
      </c>
      <c r="C6" s="2" t="s">
        <v>46</v>
      </c>
      <c r="D6" s="2" t="s">
        <v>18</v>
      </c>
      <c r="E6" s="2" t="s">
        <v>47</v>
      </c>
      <c r="F6" s="2" t="s">
        <v>36</v>
      </c>
      <c r="G6" s="2" t="s">
        <v>21</v>
      </c>
      <c r="H6" s="13">
        <v>77.3</v>
      </c>
      <c r="I6" s="2" t="str">
        <f t="shared" si="0"/>
        <v>High Risk</v>
      </c>
      <c r="J6" s="2">
        <v>98.3</v>
      </c>
      <c r="K6" s="2" t="str">
        <f t="shared" si="1"/>
        <v>High Confidence</v>
      </c>
      <c r="L6" s="2" t="s">
        <v>30</v>
      </c>
      <c r="M6" s="2" t="str">
        <f t="shared" si="2"/>
        <v>AI Generated</v>
      </c>
      <c r="N6" s="2">
        <v>0.85499999999999998</v>
      </c>
      <c r="O6" s="2" t="s">
        <v>30</v>
      </c>
      <c r="P6" s="2">
        <v>3188829</v>
      </c>
      <c r="Q6" s="2" t="str">
        <f t="shared" si="3"/>
        <v>Medium</v>
      </c>
      <c r="R6" s="2">
        <v>9327746</v>
      </c>
      <c r="S6" s="2" t="str">
        <f t="shared" si="4"/>
        <v>Highly Viral</v>
      </c>
      <c r="T6" s="2" t="s">
        <v>24</v>
      </c>
      <c r="U6" s="6" t="s">
        <v>48</v>
      </c>
    </row>
    <row r="7" spans="1:21" x14ac:dyDescent="0.3">
      <c r="A7" s="4" t="s">
        <v>49</v>
      </c>
      <c r="B7" s="9">
        <v>45617</v>
      </c>
      <c r="C7" s="4" t="s">
        <v>39</v>
      </c>
      <c r="D7" s="4" t="s">
        <v>50</v>
      </c>
      <c r="E7" s="4" t="s">
        <v>51</v>
      </c>
      <c r="F7" s="4" t="s">
        <v>52</v>
      </c>
      <c r="G7" s="4" t="s">
        <v>21</v>
      </c>
      <c r="H7" s="14">
        <v>67</v>
      </c>
      <c r="I7" s="2" t="str">
        <f t="shared" si="0"/>
        <v>High Risk</v>
      </c>
      <c r="J7" s="4">
        <v>84.4</v>
      </c>
      <c r="K7" s="2" t="str">
        <f t="shared" si="1"/>
        <v>High Confidence</v>
      </c>
      <c r="L7" s="4" t="s">
        <v>30</v>
      </c>
      <c r="M7" s="2" t="str">
        <f t="shared" si="2"/>
        <v>AI Generated</v>
      </c>
      <c r="N7" s="4">
        <v>0.68400000000000005</v>
      </c>
      <c r="O7" s="4" t="s">
        <v>30</v>
      </c>
      <c r="P7" s="4">
        <v>1435715</v>
      </c>
      <c r="Q7" s="2" t="str">
        <f t="shared" si="3"/>
        <v>Medium</v>
      </c>
      <c r="R7" s="4">
        <v>17923260</v>
      </c>
      <c r="S7" s="2" t="str">
        <f t="shared" si="4"/>
        <v>Highly Viral</v>
      </c>
      <c r="T7" s="4" t="s">
        <v>31</v>
      </c>
      <c r="U7" s="6" t="s">
        <v>48</v>
      </c>
    </row>
    <row r="8" spans="1:21" x14ac:dyDescent="0.3">
      <c r="A8" s="2" t="s">
        <v>53</v>
      </c>
      <c r="B8" s="8">
        <v>45375</v>
      </c>
      <c r="C8" s="2" t="s">
        <v>54</v>
      </c>
      <c r="D8" s="2" t="s">
        <v>55</v>
      </c>
      <c r="E8" s="2" t="s">
        <v>19</v>
      </c>
      <c r="F8" s="2" t="s">
        <v>36</v>
      </c>
      <c r="G8" s="2" t="s">
        <v>42</v>
      </c>
      <c r="H8" s="13">
        <v>55.7</v>
      </c>
      <c r="I8" s="2" t="str">
        <f t="shared" si="0"/>
        <v>Moderate Risk</v>
      </c>
      <c r="J8" s="2">
        <v>83.5</v>
      </c>
      <c r="K8" s="2" t="str">
        <f t="shared" si="1"/>
        <v>High Confidence</v>
      </c>
      <c r="L8" s="2" t="s">
        <v>43</v>
      </c>
      <c r="M8" s="2" t="str">
        <f t="shared" si="2"/>
        <v>Human Content</v>
      </c>
      <c r="N8" s="2">
        <v>0.84299999999999997</v>
      </c>
      <c r="O8" s="2" t="s">
        <v>30</v>
      </c>
      <c r="P8" s="2">
        <v>1921494</v>
      </c>
      <c r="Q8" s="2" t="str">
        <f t="shared" si="3"/>
        <v>Medium</v>
      </c>
      <c r="R8" s="2">
        <v>1077605</v>
      </c>
      <c r="S8" s="2" t="str">
        <f t="shared" si="4"/>
        <v>Moderately Viral</v>
      </c>
      <c r="T8" s="2" t="s">
        <v>56</v>
      </c>
      <c r="U8" s="5" t="s">
        <v>32</v>
      </c>
    </row>
    <row r="9" spans="1:21" x14ac:dyDescent="0.3">
      <c r="A9" s="4" t="s">
        <v>57</v>
      </c>
      <c r="B9" s="9">
        <v>45497</v>
      </c>
      <c r="C9" s="4" t="s">
        <v>34</v>
      </c>
      <c r="D9" s="4" t="s">
        <v>18</v>
      </c>
      <c r="E9" s="4" t="s">
        <v>28</v>
      </c>
      <c r="F9" s="4" t="s">
        <v>58</v>
      </c>
      <c r="G9" s="4" t="s">
        <v>42</v>
      </c>
      <c r="H9" s="14">
        <v>31.5</v>
      </c>
      <c r="I9" s="2" t="str">
        <f t="shared" si="0"/>
        <v>Moderate Risk</v>
      </c>
      <c r="J9" s="4">
        <v>82.1</v>
      </c>
      <c r="K9" s="2" t="str">
        <f t="shared" si="1"/>
        <v>High Confidence</v>
      </c>
      <c r="L9" s="4" t="s">
        <v>22</v>
      </c>
      <c r="M9" s="2" t="str">
        <f t="shared" si="2"/>
        <v>Human Content</v>
      </c>
      <c r="N9" s="4">
        <v>0.39600000000000002</v>
      </c>
      <c r="O9" s="4" t="s">
        <v>23</v>
      </c>
      <c r="P9" s="4">
        <v>3849228</v>
      </c>
      <c r="Q9" s="2" t="str">
        <f t="shared" si="3"/>
        <v>Medium</v>
      </c>
      <c r="R9" s="4">
        <v>4794475</v>
      </c>
      <c r="S9" s="2" t="str">
        <f t="shared" si="4"/>
        <v>Moderately Viral</v>
      </c>
      <c r="T9" s="4" t="s">
        <v>56</v>
      </c>
      <c r="U9" s="3" t="s">
        <v>25</v>
      </c>
    </row>
    <row r="10" spans="1:21" x14ac:dyDescent="0.3">
      <c r="A10" s="2" t="s">
        <v>59</v>
      </c>
      <c r="B10" s="8">
        <v>45363</v>
      </c>
      <c r="C10" s="2" t="s">
        <v>46</v>
      </c>
      <c r="D10" s="2" t="s">
        <v>60</v>
      </c>
      <c r="E10" s="2" t="s">
        <v>19</v>
      </c>
      <c r="F10" s="2" t="s">
        <v>36</v>
      </c>
      <c r="G10" s="2" t="s">
        <v>29</v>
      </c>
      <c r="H10" s="13">
        <v>42.8</v>
      </c>
      <c r="I10" s="2" t="str">
        <f t="shared" si="0"/>
        <v>Moderate Risk</v>
      </c>
      <c r="J10" s="2">
        <v>78.599999999999994</v>
      </c>
      <c r="K10" s="2" t="str">
        <f t="shared" si="1"/>
        <v>High Confidence</v>
      </c>
      <c r="L10" s="2" t="s">
        <v>43</v>
      </c>
      <c r="M10" s="2" t="str">
        <f t="shared" si="2"/>
        <v>Human Content</v>
      </c>
      <c r="N10" s="2">
        <v>0.36199999999999999</v>
      </c>
      <c r="O10" s="2" t="s">
        <v>30</v>
      </c>
      <c r="P10" s="2">
        <v>4274316</v>
      </c>
      <c r="Q10" s="2" t="str">
        <f t="shared" si="3"/>
        <v>High</v>
      </c>
      <c r="R10" s="2">
        <v>16560143</v>
      </c>
      <c r="S10" s="2" t="str">
        <f t="shared" si="4"/>
        <v>Highly Viral</v>
      </c>
      <c r="T10" s="2" t="s">
        <v>61</v>
      </c>
      <c r="U10" s="5" t="s">
        <v>32</v>
      </c>
    </row>
    <row r="11" spans="1:21" x14ac:dyDescent="0.3">
      <c r="A11" s="4" t="s">
        <v>62</v>
      </c>
      <c r="B11" s="9">
        <v>45316</v>
      </c>
      <c r="C11" s="4" t="s">
        <v>17</v>
      </c>
      <c r="D11" s="4" t="s">
        <v>50</v>
      </c>
      <c r="E11" s="4" t="s">
        <v>35</v>
      </c>
      <c r="F11" s="4" t="s">
        <v>36</v>
      </c>
      <c r="G11" s="4" t="s">
        <v>37</v>
      </c>
      <c r="H11" s="14">
        <v>59.6</v>
      </c>
      <c r="I11" s="2" t="str">
        <f t="shared" si="0"/>
        <v>Moderate Risk</v>
      </c>
      <c r="J11" s="4">
        <v>68.900000000000006</v>
      </c>
      <c r="K11" s="2" t="str">
        <f t="shared" si="1"/>
        <v>Moderate Confidence</v>
      </c>
      <c r="L11" s="4" t="s">
        <v>43</v>
      </c>
      <c r="M11" s="2" t="str">
        <f t="shared" si="2"/>
        <v>Human Content</v>
      </c>
      <c r="N11" s="4">
        <v>0.59599999999999997</v>
      </c>
      <c r="O11" s="4" t="s">
        <v>22</v>
      </c>
      <c r="P11" s="4">
        <v>4438632</v>
      </c>
      <c r="Q11" s="2" t="str">
        <f t="shared" si="3"/>
        <v>High</v>
      </c>
      <c r="R11" s="4">
        <v>8436557</v>
      </c>
      <c r="S11" s="2" t="str">
        <f t="shared" si="4"/>
        <v>Highly Viral</v>
      </c>
      <c r="T11" s="4" t="s">
        <v>44</v>
      </c>
      <c r="U11" s="5" t="s">
        <v>32</v>
      </c>
    </row>
    <row r="12" spans="1:21" x14ac:dyDescent="0.3">
      <c r="A12" s="2" t="s">
        <v>63</v>
      </c>
      <c r="B12" s="8">
        <v>45297</v>
      </c>
      <c r="C12" s="2" t="s">
        <v>17</v>
      </c>
      <c r="D12" s="2" t="s">
        <v>60</v>
      </c>
      <c r="E12" s="2" t="s">
        <v>19</v>
      </c>
      <c r="F12" s="2" t="s">
        <v>36</v>
      </c>
      <c r="G12" s="2" t="s">
        <v>64</v>
      </c>
      <c r="H12" s="13">
        <v>11.2</v>
      </c>
      <c r="I12" s="2" t="str">
        <f t="shared" si="0"/>
        <v>Moderate Risk</v>
      </c>
      <c r="J12" s="2">
        <v>71.3</v>
      </c>
      <c r="K12" s="2" t="str">
        <f t="shared" si="1"/>
        <v>High Confidence</v>
      </c>
      <c r="L12" s="2" t="s">
        <v>22</v>
      </c>
      <c r="M12" s="2" t="str">
        <f t="shared" si="2"/>
        <v>Human Content</v>
      </c>
      <c r="N12" s="2">
        <v>0.45400000000000001</v>
      </c>
      <c r="O12" s="2" t="s">
        <v>23</v>
      </c>
      <c r="P12" s="2">
        <v>2209567</v>
      </c>
      <c r="Q12" s="2" t="str">
        <f t="shared" si="3"/>
        <v>Medium</v>
      </c>
      <c r="R12" s="2">
        <v>16797382</v>
      </c>
      <c r="S12" s="2" t="str">
        <f t="shared" si="4"/>
        <v>Highly Viral</v>
      </c>
      <c r="T12" s="2" t="s">
        <v>31</v>
      </c>
      <c r="U12" s="3" t="s">
        <v>25</v>
      </c>
    </row>
    <row r="13" spans="1:21" x14ac:dyDescent="0.3">
      <c r="A13" s="4" t="s">
        <v>65</v>
      </c>
      <c r="B13" s="9">
        <v>45551</v>
      </c>
      <c r="C13" s="4" t="s">
        <v>17</v>
      </c>
      <c r="D13" s="4" t="s">
        <v>40</v>
      </c>
      <c r="E13" s="4" t="s">
        <v>28</v>
      </c>
      <c r="F13" s="4" t="s">
        <v>20</v>
      </c>
      <c r="G13" s="4" t="s">
        <v>64</v>
      </c>
      <c r="H13" s="14">
        <v>76.3</v>
      </c>
      <c r="I13" s="2" t="str">
        <f t="shared" si="0"/>
        <v>High Risk</v>
      </c>
      <c r="J13" s="4">
        <v>76.400000000000006</v>
      </c>
      <c r="K13" s="2" t="str">
        <f t="shared" si="1"/>
        <v>High Confidence</v>
      </c>
      <c r="L13" s="4" t="s">
        <v>30</v>
      </c>
      <c r="M13" s="2" t="str">
        <f t="shared" si="2"/>
        <v>AI Generated</v>
      </c>
      <c r="N13" s="4">
        <v>0.77900000000000003</v>
      </c>
      <c r="O13" s="4" t="s">
        <v>23</v>
      </c>
      <c r="P13" s="4">
        <v>4897</v>
      </c>
      <c r="Q13" s="2" t="str">
        <f t="shared" si="3"/>
        <v>Low</v>
      </c>
      <c r="R13" s="4">
        <v>10877372</v>
      </c>
      <c r="S13" s="2" t="str">
        <f t="shared" si="4"/>
        <v>Highly Viral</v>
      </c>
      <c r="T13" s="4" t="s">
        <v>24</v>
      </c>
      <c r="U13" s="6" t="s">
        <v>48</v>
      </c>
    </row>
    <row r="14" spans="1:21" x14ac:dyDescent="0.3">
      <c r="A14" s="2" t="s">
        <v>66</v>
      </c>
      <c r="B14" s="8">
        <v>45301</v>
      </c>
      <c r="C14" s="2" t="s">
        <v>17</v>
      </c>
      <c r="D14" s="2" t="s">
        <v>40</v>
      </c>
      <c r="E14" s="2" t="s">
        <v>19</v>
      </c>
      <c r="F14" s="2" t="s">
        <v>20</v>
      </c>
      <c r="G14" s="2" t="s">
        <v>67</v>
      </c>
      <c r="H14" s="13">
        <v>24.1</v>
      </c>
      <c r="I14" s="2" t="str">
        <f t="shared" si="0"/>
        <v>Moderate Risk</v>
      </c>
      <c r="J14" s="2">
        <v>77.8</v>
      </c>
      <c r="K14" s="2" t="str">
        <f t="shared" si="1"/>
        <v>High Confidence</v>
      </c>
      <c r="L14" s="2" t="s">
        <v>22</v>
      </c>
      <c r="M14" s="2" t="str">
        <f t="shared" si="2"/>
        <v>Human Content</v>
      </c>
      <c r="N14" s="2">
        <v>7.9000000000000001E-2</v>
      </c>
      <c r="O14" s="2" t="s">
        <v>23</v>
      </c>
      <c r="P14" s="2">
        <v>4076883</v>
      </c>
      <c r="Q14" s="2" t="str">
        <f t="shared" si="3"/>
        <v>High</v>
      </c>
      <c r="R14" s="2">
        <v>2322886</v>
      </c>
      <c r="S14" s="2" t="str">
        <f t="shared" si="4"/>
        <v>Moderately Viral</v>
      </c>
      <c r="T14" s="2" t="s">
        <v>44</v>
      </c>
      <c r="U14" s="3" t="s">
        <v>25</v>
      </c>
    </row>
    <row r="15" spans="1:21" x14ac:dyDescent="0.3">
      <c r="A15" s="4" t="s">
        <v>68</v>
      </c>
      <c r="B15" s="9">
        <v>45356</v>
      </c>
      <c r="C15" s="4" t="s">
        <v>69</v>
      </c>
      <c r="D15" s="4" t="s">
        <v>55</v>
      </c>
      <c r="E15" s="4" t="s">
        <v>35</v>
      </c>
      <c r="F15" s="4" t="s">
        <v>52</v>
      </c>
      <c r="G15" s="4" t="s">
        <v>29</v>
      </c>
      <c r="H15" s="14">
        <v>87.2</v>
      </c>
      <c r="I15" s="2" t="str">
        <f t="shared" si="0"/>
        <v>High Risk</v>
      </c>
      <c r="J15" s="4">
        <v>70.7</v>
      </c>
      <c r="K15" s="2" t="str">
        <f t="shared" si="1"/>
        <v>High Confidence</v>
      </c>
      <c r="L15" s="4" t="s">
        <v>30</v>
      </c>
      <c r="M15" s="2" t="str">
        <f t="shared" si="2"/>
        <v>AI Generated</v>
      </c>
      <c r="N15" s="4">
        <v>0.21199999999999999</v>
      </c>
      <c r="O15" s="4" t="s">
        <v>23</v>
      </c>
      <c r="P15" s="4">
        <v>1687477</v>
      </c>
      <c r="Q15" s="2" t="str">
        <f t="shared" si="3"/>
        <v>Medium</v>
      </c>
      <c r="R15" s="4">
        <v>10459963</v>
      </c>
      <c r="S15" s="2" t="str">
        <f t="shared" si="4"/>
        <v>Highly Viral</v>
      </c>
      <c r="T15" s="4" t="s">
        <v>24</v>
      </c>
      <c r="U15" s="6" t="s">
        <v>48</v>
      </c>
    </row>
    <row r="16" spans="1:21" x14ac:dyDescent="0.3">
      <c r="A16" s="2" t="s">
        <v>70</v>
      </c>
      <c r="B16" s="8">
        <v>45635</v>
      </c>
      <c r="C16" s="2" t="s">
        <v>39</v>
      </c>
      <c r="D16" s="2" t="s">
        <v>55</v>
      </c>
      <c r="E16" s="2" t="s">
        <v>71</v>
      </c>
      <c r="F16" s="2" t="s">
        <v>41</v>
      </c>
      <c r="G16" s="2" t="s">
        <v>21</v>
      </c>
      <c r="H16" s="13">
        <v>22.5</v>
      </c>
      <c r="I16" s="2" t="str">
        <f t="shared" si="0"/>
        <v>Moderate Risk</v>
      </c>
      <c r="J16" s="2">
        <v>66.599999999999994</v>
      </c>
      <c r="K16" s="2" t="str">
        <f t="shared" si="1"/>
        <v>Moderate Confidence</v>
      </c>
      <c r="L16" s="2" t="s">
        <v>22</v>
      </c>
      <c r="M16" s="2" t="str">
        <f t="shared" si="2"/>
        <v>Human Content</v>
      </c>
      <c r="N16" s="2">
        <v>0.58799999999999997</v>
      </c>
      <c r="O16" s="2" t="s">
        <v>30</v>
      </c>
      <c r="P16" s="2">
        <v>4936293</v>
      </c>
      <c r="Q16" s="2" t="str">
        <f t="shared" si="3"/>
        <v>High</v>
      </c>
      <c r="R16" s="2">
        <v>7389769</v>
      </c>
      <c r="S16" s="2" t="str">
        <f t="shared" si="4"/>
        <v>Highly Viral</v>
      </c>
      <c r="T16" s="2" t="s">
        <v>61</v>
      </c>
      <c r="U16" s="3" t="s">
        <v>25</v>
      </c>
    </row>
    <row r="17" spans="1:21" x14ac:dyDescent="0.3">
      <c r="A17" s="4" t="s">
        <v>72</v>
      </c>
      <c r="B17" s="9">
        <v>45328</v>
      </c>
      <c r="C17" s="4" t="s">
        <v>27</v>
      </c>
      <c r="D17" s="4" t="s">
        <v>50</v>
      </c>
      <c r="E17" s="4" t="s">
        <v>73</v>
      </c>
      <c r="F17" s="4" t="s">
        <v>41</v>
      </c>
      <c r="G17" s="4" t="s">
        <v>74</v>
      </c>
      <c r="H17" s="14">
        <v>33</v>
      </c>
      <c r="I17" s="2" t="str">
        <f t="shared" si="0"/>
        <v>Moderate Risk</v>
      </c>
      <c r="J17" s="4">
        <v>75.2</v>
      </c>
      <c r="K17" s="2" t="str">
        <f t="shared" si="1"/>
        <v>High Confidence</v>
      </c>
      <c r="L17" s="4" t="s">
        <v>22</v>
      </c>
      <c r="M17" s="2" t="str">
        <f t="shared" si="2"/>
        <v>Human Content</v>
      </c>
      <c r="N17" s="4">
        <v>0.27800000000000002</v>
      </c>
      <c r="O17" s="4" t="s">
        <v>22</v>
      </c>
      <c r="P17" s="4">
        <v>1797248</v>
      </c>
      <c r="Q17" s="2" t="str">
        <f t="shared" si="3"/>
        <v>Medium</v>
      </c>
      <c r="R17" s="4">
        <v>18094188</v>
      </c>
      <c r="S17" s="2" t="str">
        <f t="shared" si="4"/>
        <v>Highly Viral</v>
      </c>
      <c r="T17" s="4" t="s">
        <v>31</v>
      </c>
      <c r="U17" s="3" t="s">
        <v>25</v>
      </c>
    </row>
    <row r="18" spans="1:21" x14ac:dyDescent="0.3">
      <c r="A18" s="2" t="s">
        <v>75</v>
      </c>
      <c r="B18" s="8">
        <v>45584</v>
      </c>
      <c r="C18" s="2" t="s">
        <v>54</v>
      </c>
      <c r="D18" s="2" t="s">
        <v>50</v>
      </c>
      <c r="E18" s="2" t="s">
        <v>71</v>
      </c>
      <c r="F18" s="2" t="s">
        <v>76</v>
      </c>
      <c r="G18" s="2" t="s">
        <v>21</v>
      </c>
      <c r="H18" s="13">
        <v>9.4</v>
      </c>
      <c r="I18" s="2" t="str">
        <f t="shared" si="0"/>
        <v>Moderate Risk</v>
      </c>
      <c r="J18" s="2">
        <v>82.3</v>
      </c>
      <c r="K18" s="2" t="str">
        <f t="shared" si="1"/>
        <v>High Confidence</v>
      </c>
      <c r="L18" s="2" t="s">
        <v>22</v>
      </c>
      <c r="M18" s="2" t="str">
        <f t="shared" si="2"/>
        <v>Human Content</v>
      </c>
      <c r="N18" s="2">
        <v>0.35399999999999998</v>
      </c>
      <c r="O18" s="2" t="s">
        <v>22</v>
      </c>
      <c r="P18" s="2">
        <v>3917786</v>
      </c>
      <c r="Q18" s="2" t="str">
        <f t="shared" si="3"/>
        <v>Medium</v>
      </c>
      <c r="R18" s="2">
        <v>1818183</v>
      </c>
      <c r="S18" s="2" t="str">
        <f t="shared" si="4"/>
        <v>Moderately Viral</v>
      </c>
      <c r="T18" s="2" t="s">
        <v>61</v>
      </c>
      <c r="U18" s="3" t="s">
        <v>25</v>
      </c>
    </row>
    <row r="19" spans="1:21" x14ac:dyDescent="0.3">
      <c r="A19" s="4" t="s">
        <v>77</v>
      </c>
      <c r="B19" s="9">
        <v>45323</v>
      </c>
      <c r="C19" s="4" t="s">
        <v>78</v>
      </c>
      <c r="D19" s="4" t="s">
        <v>40</v>
      </c>
      <c r="E19" s="4" t="s">
        <v>73</v>
      </c>
      <c r="F19" s="4" t="s">
        <v>20</v>
      </c>
      <c r="G19" s="4" t="s">
        <v>21</v>
      </c>
      <c r="H19" s="14">
        <v>19</v>
      </c>
      <c r="I19" s="2" t="str">
        <f t="shared" si="0"/>
        <v>Moderate Risk</v>
      </c>
      <c r="J19" s="4">
        <v>72</v>
      </c>
      <c r="K19" s="2" t="str">
        <f t="shared" si="1"/>
        <v>High Confidence</v>
      </c>
      <c r="L19" s="4" t="s">
        <v>22</v>
      </c>
      <c r="M19" s="2" t="str">
        <f t="shared" si="2"/>
        <v>Human Content</v>
      </c>
      <c r="N19" s="4">
        <v>0.42199999999999999</v>
      </c>
      <c r="O19" s="4" t="s">
        <v>22</v>
      </c>
      <c r="P19" s="4">
        <v>3880905</v>
      </c>
      <c r="Q19" s="2" t="str">
        <f t="shared" si="3"/>
        <v>Medium</v>
      </c>
      <c r="R19" s="4">
        <v>8382613</v>
      </c>
      <c r="S19" s="2" t="str">
        <f t="shared" si="4"/>
        <v>Highly Viral</v>
      </c>
      <c r="T19" s="4" t="s">
        <v>61</v>
      </c>
      <c r="U19" s="3" t="s">
        <v>25</v>
      </c>
    </row>
    <row r="20" spans="1:21" x14ac:dyDescent="0.3">
      <c r="A20" s="2" t="s">
        <v>79</v>
      </c>
      <c r="B20" s="8">
        <v>45518</v>
      </c>
      <c r="C20" s="2" t="s">
        <v>17</v>
      </c>
      <c r="D20" s="2" t="s">
        <v>18</v>
      </c>
      <c r="E20" s="2" t="s">
        <v>47</v>
      </c>
      <c r="F20" s="2" t="s">
        <v>41</v>
      </c>
      <c r="G20" s="2" t="s">
        <v>74</v>
      </c>
      <c r="H20" s="13">
        <v>84.9</v>
      </c>
      <c r="I20" s="2" t="str">
        <f t="shared" si="0"/>
        <v>High Risk</v>
      </c>
      <c r="J20" s="2">
        <v>58.1</v>
      </c>
      <c r="K20" s="2" t="str">
        <f t="shared" si="1"/>
        <v>Moderate Confidence</v>
      </c>
      <c r="L20" s="2" t="s">
        <v>30</v>
      </c>
      <c r="M20" s="2" t="str">
        <f t="shared" si="2"/>
        <v>AI Generated</v>
      </c>
      <c r="N20" s="2">
        <v>0.48599999999999999</v>
      </c>
      <c r="O20" s="2" t="s">
        <v>30</v>
      </c>
      <c r="P20" s="2">
        <v>3364269</v>
      </c>
      <c r="Q20" s="2" t="str">
        <f t="shared" si="3"/>
        <v>Medium</v>
      </c>
      <c r="R20" s="2">
        <v>1967977</v>
      </c>
      <c r="S20" s="2" t="str">
        <f t="shared" si="4"/>
        <v>Moderately Viral</v>
      </c>
      <c r="T20" s="2" t="s">
        <v>31</v>
      </c>
      <c r="U20" s="6" t="s">
        <v>48</v>
      </c>
    </row>
    <row r="21" spans="1:21" x14ac:dyDescent="0.3">
      <c r="A21" s="4" t="s">
        <v>80</v>
      </c>
      <c r="B21" s="9">
        <v>45486</v>
      </c>
      <c r="C21" s="4" t="s">
        <v>27</v>
      </c>
      <c r="D21" s="4" t="s">
        <v>55</v>
      </c>
      <c r="E21" s="4" t="s">
        <v>19</v>
      </c>
      <c r="F21" s="4" t="s">
        <v>76</v>
      </c>
      <c r="G21" s="4" t="s">
        <v>64</v>
      </c>
      <c r="H21" s="14">
        <v>42.3</v>
      </c>
      <c r="I21" s="2" t="str">
        <f t="shared" si="0"/>
        <v>Moderate Risk</v>
      </c>
      <c r="J21" s="4">
        <v>96.9</v>
      </c>
      <c r="K21" s="2" t="str">
        <f t="shared" si="1"/>
        <v>High Confidence</v>
      </c>
      <c r="L21" s="4" t="s">
        <v>43</v>
      </c>
      <c r="M21" s="2" t="str">
        <f t="shared" si="2"/>
        <v>Human Content</v>
      </c>
      <c r="N21" s="4">
        <v>0.995</v>
      </c>
      <c r="O21" s="4" t="s">
        <v>23</v>
      </c>
      <c r="P21" s="4">
        <v>4082595</v>
      </c>
      <c r="Q21" s="2" t="str">
        <f>IF(P21&gt;4000000,"High",IF(P21&gt;1000000,"Medium",IF(P21&lt;1000000,"Low")))</f>
        <v>High</v>
      </c>
      <c r="R21" s="4">
        <v>5194619</v>
      </c>
      <c r="S21" s="2" t="str">
        <f t="shared" si="4"/>
        <v>Highly Viral</v>
      </c>
      <c r="T21" s="4" t="s">
        <v>31</v>
      </c>
      <c r="U21" s="5" t="s">
        <v>32</v>
      </c>
    </row>
    <row r="22" spans="1:21" x14ac:dyDescent="0.3">
      <c r="A22" s="2" t="s">
        <v>81</v>
      </c>
      <c r="B22" s="8">
        <v>45443</v>
      </c>
      <c r="C22" s="2" t="s">
        <v>46</v>
      </c>
      <c r="D22" s="2" t="s">
        <v>18</v>
      </c>
      <c r="E22" s="2" t="s">
        <v>47</v>
      </c>
      <c r="F22" s="2" t="s">
        <v>36</v>
      </c>
      <c r="G22" s="2" t="s">
        <v>64</v>
      </c>
      <c r="H22" s="13">
        <v>5.7</v>
      </c>
      <c r="I22" s="2" t="str">
        <f t="shared" si="0"/>
        <v>Moderate Risk</v>
      </c>
      <c r="J22" s="2">
        <v>78.599999999999994</v>
      </c>
      <c r="K22" s="2" t="str">
        <f t="shared" si="1"/>
        <v>High Confidence</v>
      </c>
      <c r="L22" s="2" t="s">
        <v>22</v>
      </c>
      <c r="M22" s="2" t="str">
        <f t="shared" si="2"/>
        <v>Human Content</v>
      </c>
      <c r="N22" s="2">
        <v>0.503</v>
      </c>
      <c r="O22" s="2" t="s">
        <v>23</v>
      </c>
      <c r="P22" s="2">
        <v>1320741</v>
      </c>
      <c r="Q22" s="2" t="str">
        <f t="shared" si="3"/>
        <v>Medium</v>
      </c>
      <c r="R22" s="2">
        <v>1909061</v>
      </c>
      <c r="S22" s="2" t="str">
        <f t="shared" si="4"/>
        <v>Moderately Viral</v>
      </c>
      <c r="T22" s="2" t="s">
        <v>44</v>
      </c>
      <c r="U22" s="3" t="s">
        <v>25</v>
      </c>
    </row>
    <row r="23" spans="1:21" x14ac:dyDescent="0.3">
      <c r="A23" s="4" t="s">
        <v>82</v>
      </c>
      <c r="B23" s="9">
        <v>45333</v>
      </c>
      <c r="C23" s="4" t="s">
        <v>69</v>
      </c>
      <c r="D23" s="4" t="s">
        <v>18</v>
      </c>
      <c r="E23" s="4" t="s">
        <v>73</v>
      </c>
      <c r="F23" s="4" t="s">
        <v>36</v>
      </c>
      <c r="G23" s="4" t="s">
        <v>74</v>
      </c>
      <c r="H23" s="14">
        <v>23.5</v>
      </c>
      <c r="I23" s="2" t="str">
        <f t="shared" si="0"/>
        <v>Moderate Risk</v>
      </c>
      <c r="J23" s="4">
        <v>55.9</v>
      </c>
      <c r="K23" s="2" t="str">
        <f t="shared" si="1"/>
        <v>Moderate Confidence</v>
      </c>
      <c r="L23" s="4" t="s">
        <v>22</v>
      </c>
      <c r="M23" s="2" t="str">
        <f t="shared" si="2"/>
        <v>Human Content</v>
      </c>
      <c r="N23" s="4">
        <v>0.89</v>
      </c>
      <c r="O23" s="4" t="s">
        <v>30</v>
      </c>
      <c r="P23" s="4">
        <v>4856425</v>
      </c>
      <c r="Q23" s="2" t="str">
        <f t="shared" si="3"/>
        <v>High</v>
      </c>
      <c r="R23" s="4">
        <v>19949252</v>
      </c>
      <c r="S23" s="2" t="str">
        <f t="shared" si="4"/>
        <v>Highly Viral</v>
      </c>
      <c r="T23" s="4" t="s">
        <v>61</v>
      </c>
      <c r="U23" s="3" t="s">
        <v>25</v>
      </c>
    </row>
    <row r="24" spans="1:21" x14ac:dyDescent="0.3">
      <c r="A24" s="2" t="s">
        <v>83</v>
      </c>
      <c r="B24" s="8">
        <v>45609</v>
      </c>
      <c r="C24" s="2" t="s">
        <v>17</v>
      </c>
      <c r="D24" s="2" t="s">
        <v>55</v>
      </c>
      <c r="E24" s="2" t="s">
        <v>51</v>
      </c>
      <c r="F24" s="2" t="s">
        <v>52</v>
      </c>
      <c r="G24" s="2" t="s">
        <v>21</v>
      </c>
      <c r="H24" s="13">
        <v>67</v>
      </c>
      <c r="I24" s="2" t="str">
        <f t="shared" si="0"/>
        <v>High Risk</v>
      </c>
      <c r="J24" s="2">
        <v>65.400000000000006</v>
      </c>
      <c r="K24" s="2" t="str">
        <f t="shared" si="1"/>
        <v>Moderate Confidence</v>
      </c>
      <c r="L24" s="2" t="s">
        <v>30</v>
      </c>
      <c r="M24" s="2" t="str">
        <f t="shared" si="2"/>
        <v>AI Generated</v>
      </c>
      <c r="N24" s="2">
        <v>0.26600000000000001</v>
      </c>
      <c r="O24" s="2" t="s">
        <v>30</v>
      </c>
      <c r="P24" s="2">
        <v>2516657</v>
      </c>
      <c r="Q24" s="2" t="str">
        <f t="shared" si="3"/>
        <v>Medium</v>
      </c>
      <c r="R24" s="2">
        <v>15342410</v>
      </c>
      <c r="S24" s="2" t="str">
        <f t="shared" si="4"/>
        <v>Highly Viral</v>
      </c>
      <c r="T24" s="2" t="s">
        <v>56</v>
      </c>
      <c r="U24" s="6" t="s">
        <v>48</v>
      </c>
    </row>
    <row r="25" spans="1:21" x14ac:dyDescent="0.3">
      <c r="A25" s="4" t="s">
        <v>84</v>
      </c>
      <c r="B25" s="9">
        <v>45329</v>
      </c>
      <c r="C25" s="4" t="s">
        <v>27</v>
      </c>
      <c r="D25" s="4" t="s">
        <v>55</v>
      </c>
      <c r="E25" s="4" t="s">
        <v>73</v>
      </c>
      <c r="F25" s="4" t="s">
        <v>41</v>
      </c>
      <c r="G25" s="4" t="s">
        <v>29</v>
      </c>
      <c r="H25" s="14">
        <v>21.3</v>
      </c>
      <c r="I25" s="2" t="str">
        <f t="shared" si="0"/>
        <v>Moderate Risk</v>
      </c>
      <c r="J25" s="4">
        <v>63</v>
      </c>
      <c r="K25" s="2" t="str">
        <f t="shared" si="1"/>
        <v>Moderate Confidence</v>
      </c>
      <c r="L25" s="4" t="s">
        <v>22</v>
      </c>
      <c r="M25" s="2" t="str">
        <f t="shared" si="2"/>
        <v>Human Content</v>
      </c>
      <c r="N25" s="4">
        <v>0.93300000000000005</v>
      </c>
      <c r="O25" s="4" t="s">
        <v>30</v>
      </c>
      <c r="P25" s="4">
        <v>2049306</v>
      </c>
      <c r="Q25" s="2" t="str">
        <f t="shared" si="3"/>
        <v>Medium</v>
      </c>
      <c r="R25" s="4">
        <v>12399771</v>
      </c>
      <c r="S25" s="2" t="str">
        <f t="shared" si="4"/>
        <v>Highly Viral</v>
      </c>
      <c r="T25" s="4" t="s">
        <v>56</v>
      </c>
      <c r="U25" s="3" t="s">
        <v>25</v>
      </c>
    </row>
    <row r="26" spans="1:21" x14ac:dyDescent="0.3">
      <c r="A26" s="2" t="s">
        <v>85</v>
      </c>
      <c r="B26" s="8">
        <v>45372</v>
      </c>
      <c r="C26" s="2" t="s">
        <v>54</v>
      </c>
      <c r="D26" s="2" t="s">
        <v>60</v>
      </c>
      <c r="E26" s="2" t="s">
        <v>19</v>
      </c>
      <c r="F26" s="2" t="s">
        <v>58</v>
      </c>
      <c r="G26" s="2" t="s">
        <v>74</v>
      </c>
      <c r="H26" s="13">
        <v>65.400000000000006</v>
      </c>
      <c r="I26" s="2" t="str">
        <f t="shared" si="0"/>
        <v>High Risk</v>
      </c>
      <c r="J26" s="2">
        <v>50.4</v>
      </c>
      <c r="K26" s="2" t="str">
        <f t="shared" si="1"/>
        <v>Moderate Confidence</v>
      </c>
      <c r="L26" s="2" t="s">
        <v>30</v>
      </c>
      <c r="M26" s="2" t="str">
        <f t="shared" si="2"/>
        <v>AI Generated</v>
      </c>
      <c r="N26" s="2">
        <v>0.81699999999999995</v>
      </c>
      <c r="O26" s="2" t="s">
        <v>22</v>
      </c>
      <c r="P26" s="2">
        <v>869046</v>
      </c>
      <c r="Q26" s="2" t="str">
        <f t="shared" si="3"/>
        <v>Low</v>
      </c>
      <c r="R26" s="2">
        <v>4506562</v>
      </c>
      <c r="S26" s="2" t="str">
        <f t="shared" si="4"/>
        <v>Moderately Viral</v>
      </c>
      <c r="T26" s="2" t="s">
        <v>56</v>
      </c>
      <c r="U26" s="6" t="s">
        <v>48</v>
      </c>
    </row>
    <row r="27" spans="1:21" x14ac:dyDescent="0.3">
      <c r="A27" s="4" t="s">
        <v>86</v>
      </c>
      <c r="B27" s="9">
        <v>45351</v>
      </c>
      <c r="C27" s="4" t="s">
        <v>17</v>
      </c>
      <c r="D27" s="4" t="s">
        <v>60</v>
      </c>
      <c r="E27" s="4" t="s">
        <v>35</v>
      </c>
      <c r="F27" s="4" t="s">
        <v>52</v>
      </c>
      <c r="G27" s="4" t="s">
        <v>64</v>
      </c>
      <c r="H27" s="14">
        <v>60.5</v>
      </c>
      <c r="I27" s="2" t="str">
        <f t="shared" si="0"/>
        <v>High Risk</v>
      </c>
      <c r="J27" s="4">
        <v>85.2</v>
      </c>
      <c r="K27" s="2" t="str">
        <f t="shared" si="1"/>
        <v>High Confidence</v>
      </c>
      <c r="L27" s="4" t="s">
        <v>30</v>
      </c>
      <c r="M27" s="2" t="str">
        <f t="shared" si="2"/>
        <v>AI Generated</v>
      </c>
      <c r="N27" s="4">
        <v>0.20399999999999999</v>
      </c>
      <c r="O27" s="4" t="s">
        <v>23</v>
      </c>
      <c r="P27" s="4">
        <v>2214557</v>
      </c>
      <c r="Q27" s="2" t="str">
        <f t="shared" si="3"/>
        <v>Medium</v>
      </c>
      <c r="R27" s="4">
        <v>16959213</v>
      </c>
      <c r="S27" s="2" t="str">
        <f t="shared" si="4"/>
        <v>Highly Viral</v>
      </c>
      <c r="T27" s="4" t="s">
        <v>24</v>
      </c>
      <c r="U27" s="5" t="s">
        <v>32</v>
      </c>
    </row>
    <row r="28" spans="1:21" x14ac:dyDescent="0.3">
      <c r="A28" s="2" t="s">
        <v>87</v>
      </c>
      <c r="B28" s="8">
        <v>45420</v>
      </c>
      <c r="C28" s="2" t="s">
        <v>27</v>
      </c>
      <c r="D28" s="2" t="s">
        <v>18</v>
      </c>
      <c r="E28" s="2" t="s">
        <v>88</v>
      </c>
      <c r="F28" s="2" t="s">
        <v>52</v>
      </c>
      <c r="G28" s="2" t="s">
        <v>67</v>
      </c>
      <c r="H28" s="13">
        <v>0.4</v>
      </c>
      <c r="I28" s="2" t="str">
        <f t="shared" si="0"/>
        <v>Moderate Risk</v>
      </c>
      <c r="J28" s="2">
        <v>87.8</v>
      </c>
      <c r="K28" s="2" t="str">
        <f t="shared" si="1"/>
        <v>High Confidence</v>
      </c>
      <c r="L28" s="2" t="s">
        <v>22</v>
      </c>
      <c r="M28" s="2" t="str">
        <f t="shared" si="2"/>
        <v>Human Content</v>
      </c>
      <c r="N28" s="2">
        <v>0.63700000000000001</v>
      </c>
      <c r="O28" s="2" t="s">
        <v>22</v>
      </c>
      <c r="P28" s="2">
        <v>1355547</v>
      </c>
      <c r="Q28" s="2" t="str">
        <f t="shared" si="3"/>
        <v>Medium</v>
      </c>
      <c r="R28" s="2">
        <v>14826039</v>
      </c>
      <c r="S28" s="2" t="str">
        <f t="shared" si="4"/>
        <v>Highly Viral</v>
      </c>
      <c r="T28" s="2" t="s">
        <v>44</v>
      </c>
      <c r="U28" s="3" t="s">
        <v>25</v>
      </c>
    </row>
    <row r="29" spans="1:21" x14ac:dyDescent="0.3">
      <c r="A29" s="4" t="s">
        <v>89</v>
      </c>
      <c r="B29" s="9">
        <v>45653</v>
      </c>
      <c r="C29" s="4" t="s">
        <v>78</v>
      </c>
      <c r="D29" s="4" t="s">
        <v>60</v>
      </c>
      <c r="E29" s="4" t="s">
        <v>47</v>
      </c>
      <c r="F29" s="4" t="s">
        <v>41</v>
      </c>
      <c r="G29" s="4" t="s">
        <v>67</v>
      </c>
      <c r="H29" s="14">
        <v>94.5</v>
      </c>
      <c r="I29" s="2" t="str">
        <f t="shared" si="0"/>
        <v>High Risk</v>
      </c>
      <c r="J29" s="4">
        <v>83.9</v>
      </c>
      <c r="K29" s="2" t="str">
        <f t="shared" si="1"/>
        <v>High Confidence</v>
      </c>
      <c r="L29" s="4" t="s">
        <v>30</v>
      </c>
      <c r="M29" s="2" t="str">
        <f t="shared" si="2"/>
        <v>AI Generated</v>
      </c>
      <c r="N29" s="4">
        <v>0.14899999999999999</v>
      </c>
      <c r="O29" s="4" t="s">
        <v>30</v>
      </c>
      <c r="P29" s="4">
        <v>3097308</v>
      </c>
      <c r="Q29" s="2" t="str">
        <f t="shared" si="3"/>
        <v>Medium</v>
      </c>
      <c r="R29" s="4">
        <v>19546277</v>
      </c>
      <c r="S29" s="2" t="str">
        <f t="shared" si="4"/>
        <v>Highly Viral</v>
      </c>
      <c r="T29" s="4" t="s">
        <v>44</v>
      </c>
      <c r="U29" s="6" t="s">
        <v>48</v>
      </c>
    </row>
    <row r="30" spans="1:21" x14ac:dyDescent="0.3">
      <c r="A30" s="2" t="s">
        <v>90</v>
      </c>
      <c r="B30" s="8">
        <v>45367</v>
      </c>
      <c r="C30" s="2" t="s">
        <v>78</v>
      </c>
      <c r="D30" s="2" t="s">
        <v>50</v>
      </c>
      <c r="E30" s="2" t="s">
        <v>47</v>
      </c>
      <c r="F30" s="2" t="s">
        <v>52</v>
      </c>
      <c r="G30" s="2" t="s">
        <v>64</v>
      </c>
      <c r="H30" s="13">
        <v>89.9</v>
      </c>
      <c r="I30" s="2" t="str">
        <f t="shared" si="0"/>
        <v>High Risk</v>
      </c>
      <c r="J30" s="2">
        <v>89</v>
      </c>
      <c r="K30" s="2" t="str">
        <f t="shared" si="1"/>
        <v>High Confidence</v>
      </c>
      <c r="L30" s="2" t="s">
        <v>30</v>
      </c>
      <c r="M30" s="2" t="str">
        <f t="shared" si="2"/>
        <v>AI Generated</v>
      </c>
      <c r="N30" s="2">
        <v>0.86099999999999999</v>
      </c>
      <c r="O30" s="2" t="s">
        <v>22</v>
      </c>
      <c r="P30" s="2">
        <v>1762349</v>
      </c>
      <c r="Q30" s="2" t="str">
        <f t="shared" si="3"/>
        <v>Medium</v>
      </c>
      <c r="R30" s="2">
        <v>8373328</v>
      </c>
      <c r="S30" s="2" t="str">
        <f t="shared" si="4"/>
        <v>Highly Viral</v>
      </c>
      <c r="T30" s="2" t="s">
        <v>61</v>
      </c>
      <c r="U30" s="6" t="s">
        <v>48</v>
      </c>
    </row>
    <row r="31" spans="1:21" x14ac:dyDescent="0.3">
      <c r="A31" s="4" t="s">
        <v>91</v>
      </c>
      <c r="B31" s="9">
        <v>45473</v>
      </c>
      <c r="C31" s="4" t="s">
        <v>78</v>
      </c>
      <c r="D31" s="4" t="s">
        <v>60</v>
      </c>
      <c r="E31" s="4" t="s">
        <v>35</v>
      </c>
      <c r="F31" s="4" t="s">
        <v>20</v>
      </c>
      <c r="G31" s="4" t="s">
        <v>74</v>
      </c>
      <c r="H31" s="14">
        <v>16.3</v>
      </c>
      <c r="I31" s="2" t="str">
        <f t="shared" si="0"/>
        <v>Moderate Risk</v>
      </c>
      <c r="J31" s="4">
        <v>89.2</v>
      </c>
      <c r="K31" s="2" t="str">
        <f t="shared" si="1"/>
        <v>High Confidence</v>
      </c>
      <c r="L31" s="4" t="s">
        <v>22</v>
      </c>
      <c r="M31" s="2" t="str">
        <f t="shared" si="2"/>
        <v>Human Content</v>
      </c>
      <c r="N31" s="4">
        <v>0.17699999999999999</v>
      </c>
      <c r="O31" s="4" t="s">
        <v>22</v>
      </c>
      <c r="P31" s="4">
        <v>208023</v>
      </c>
      <c r="Q31" s="2" t="str">
        <f t="shared" si="3"/>
        <v>Low</v>
      </c>
      <c r="R31" s="4">
        <v>6018845</v>
      </c>
      <c r="S31" s="2" t="str">
        <f>IF(R31&gt;5000000,"Highly Viral",IF(R31&gt;1000000,"Moderately Viral",IF(R31&lt;500000,"Low Viral")))</f>
        <v>Highly Viral</v>
      </c>
      <c r="T31" s="4" t="s">
        <v>56</v>
      </c>
      <c r="U31" s="3" t="s">
        <v>25</v>
      </c>
    </row>
    <row r="32" spans="1:21" x14ac:dyDescent="0.3">
      <c r="A32" s="2" t="s">
        <v>92</v>
      </c>
      <c r="B32" s="8">
        <v>45502</v>
      </c>
      <c r="C32" s="2" t="s">
        <v>46</v>
      </c>
      <c r="D32" s="2" t="s">
        <v>40</v>
      </c>
      <c r="E32" s="2" t="s">
        <v>35</v>
      </c>
      <c r="F32" s="2" t="s">
        <v>36</v>
      </c>
      <c r="G32" s="2" t="s">
        <v>67</v>
      </c>
      <c r="H32" s="13">
        <v>38.299999999999997</v>
      </c>
      <c r="I32" s="2" t="str">
        <f t="shared" si="0"/>
        <v>Moderate Risk</v>
      </c>
      <c r="J32" s="2">
        <v>51.9</v>
      </c>
      <c r="K32" s="2" t="str">
        <f t="shared" si="1"/>
        <v>Moderate Confidence</v>
      </c>
      <c r="L32" s="2" t="s">
        <v>43</v>
      </c>
      <c r="M32" s="2" t="str">
        <f t="shared" si="2"/>
        <v>Human Content</v>
      </c>
      <c r="N32" s="2">
        <v>0.47099999999999997</v>
      </c>
      <c r="O32" s="2" t="s">
        <v>30</v>
      </c>
      <c r="P32" s="2">
        <v>3861403</v>
      </c>
      <c r="Q32" s="2" t="str">
        <f t="shared" si="3"/>
        <v>Medium</v>
      </c>
      <c r="R32" s="2">
        <v>11733089</v>
      </c>
      <c r="S32" s="2" t="str">
        <f t="shared" si="4"/>
        <v>Highly Viral</v>
      </c>
      <c r="T32" s="2" t="s">
        <v>56</v>
      </c>
      <c r="U32" s="5" t="s">
        <v>32</v>
      </c>
    </row>
    <row r="33" spans="1:21" x14ac:dyDescent="0.3">
      <c r="A33" s="4" t="s">
        <v>93</v>
      </c>
      <c r="B33" s="9">
        <v>45408</v>
      </c>
      <c r="C33" s="4" t="s">
        <v>46</v>
      </c>
      <c r="D33" s="4" t="s">
        <v>18</v>
      </c>
      <c r="E33" s="4" t="s">
        <v>28</v>
      </c>
      <c r="F33" s="4" t="s">
        <v>76</v>
      </c>
      <c r="G33" s="4" t="s">
        <v>64</v>
      </c>
      <c r="H33" s="14">
        <v>27.9</v>
      </c>
      <c r="I33" s="2" t="str">
        <f t="shared" si="0"/>
        <v>Moderate Risk</v>
      </c>
      <c r="J33" s="4">
        <v>53.4</v>
      </c>
      <c r="K33" s="2" t="str">
        <f t="shared" si="1"/>
        <v>Moderate Confidence</v>
      </c>
      <c r="L33" s="4" t="s">
        <v>22</v>
      </c>
      <c r="M33" s="2" t="str">
        <f t="shared" si="2"/>
        <v>Human Content</v>
      </c>
      <c r="N33" s="4">
        <v>0.77300000000000002</v>
      </c>
      <c r="O33" s="4" t="s">
        <v>22</v>
      </c>
      <c r="P33" s="4">
        <v>4273304</v>
      </c>
      <c r="Q33" s="2" t="str">
        <f t="shared" si="3"/>
        <v>High</v>
      </c>
      <c r="R33" s="4">
        <v>13411481</v>
      </c>
      <c r="S33" s="2" t="str">
        <f t="shared" si="4"/>
        <v>Highly Viral</v>
      </c>
      <c r="T33" s="4" t="s">
        <v>44</v>
      </c>
      <c r="U33" s="3" t="s">
        <v>25</v>
      </c>
    </row>
    <row r="34" spans="1:21" x14ac:dyDescent="0.3">
      <c r="A34" s="2" t="s">
        <v>94</v>
      </c>
      <c r="B34" s="8">
        <v>45461</v>
      </c>
      <c r="C34" s="2" t="s">
        <v>27</v>
      </c>
      <c r="D34" s="2" t="s">
        <v>18</v>
      </c>
      <c r="E34" s="2" t="s">
        <v>19</v>
      </c>
      <c r="F34" s="2" t="s">
        <v>20</v>
      </c>
      <c r="G34" s="2" t="s">
        <v>29</v>
      </c>
      <c r="H34" s="13">
        <v>96.3</v>
      </c>
      <c r="I34" s="2" t="str">
        <f t="shared" si="0"/>
        <v>High Risk</v>
      </c>
      <c r="J34" s="2">
        <v>63</v>
      </c>
      <c r="K34" s="2" t="str">
        <f t="shared" si="1"/>
        <v>Moderate Confidence</v>
      </c>
      <c r="L34" s="2" t="s">
        <v>30</v>
      </c>
      <c r="M34" s="2" t="str">
        <f t="shared" si="2"/>
        <v>AI Generated</v>
      </c>
      <c r="N34" s="2">
        <v>0.108</v>
      </c>
      <c r="O34" s="2" t="s">
        <v>22</v>
      </c>
      <c r="P34" s="2">
        <v>2899933</v>
      </c>
      <c r="Q34" s="2" t="str">
        <f t="shared" si="3"/>
        <v>Medium</v>
      </c>
      <c r="R34" s="2">
        <v>10525764</v>
      </c>
      <c r="S34" s="2" t="str">
        <f t="shared" si="4"/>
        <v>Highly Viral</v>
      </c>
      <c r="T34" s="2" t="s">
        <v>24</v>
      </c>
      <c r="U34" s="6" t="s">
        <v>48</v>
      </c>
    </row>
    <row r="35" spans="1:21" x14ac:dyDescent="0.3">
      <c r="A35" s="4" t="s">
        <v>95</v>
      </c>
      <c r="B35" s="9">
        <v>45602</v>
      </c>
      <c r="C35" s="4" t="s">
        <v>17</v>
      </c>
      <c r="D35" s="4" t="s">
        <v>55</v>
      </c>
      <c r="E35" s="4" t="s">
        <v>28</v>
      </c>
      <c r="F35" s="4" t="s">
        <v>52</v>
      </c>
      <c r="G35" s="4" t="s">
        <v>67</v>
      </c>
      <c r="H35" s="14">
        <v>70.900000000000006</v>
      </c>
      <c r="I35" s="2" t="str">
        <f t="shared" si="0"/>
        <v>High Risk</v>
      </c>
      <c r="J35" s="4">
        <v>50.1</v>
      </c>
      <c r="K35" s="2" t="str">
        <f t="shared" si="1"/>
        <v>Moderate Confidence</v>
      </c>
      <c r="L35" s="4" t="s">
        <v>30</v>
      </c>
      <c r="M35" s="2" t="str">
        <f t="shared" si="2"/>
        <v>AI Generated</v>
      </c>
      <c r="N35" s="4">
        <v>0.92600000000000005</v>
      </c>
      <c r="O35" s="4" t="s">
        <v>23</v>
      </c>
      <c r="P35" s="4">
        <v>1652950</v>
      </c>
      <c r="Q35" s="2" t="str">
        <f t="shared" si="3"/>
        <v>Medium</v>
      </c>
      <c r="R35" s="4">
        <v>12221744</v>
      </c>
      <c r="S35" s="2" t="str">
        <f t="shared" si="4"/>
        <v>Highly Viral</v>
      </c>
      <c r="T35" s="4" t="s">
        <v>24</v>
      </c>
      <c r="U35" s="6" t="s">
        <v>48</v>
      </c>
    </row>
    <row r="36" spans="1:21" x14ac:dyDescent="0.3">
      <c r="A36" s="2" t="s">
        <v>96</v>
      </c>
      <c r="B36" s="8">
        <v>45327</v>
      </c>
      <c r="C36" s="2" t="s">
        <v>39</v>
      </c>
      <c r="D36" s="2" t="s">
        <v>60</v>
      </c>
      <c r="E36" s="2" t="s">
        <v>51</v>
      </c>
      <c r="F36" s="2" t="s">
        <v>36</v>
      </c>
      <c r="G36" s="2" t="s">
        <v>74</v>
      </c>
      <c r="H36" s="13">
        <v>12.5</v>
      </c>
      <c r="I36" s="2" t="str">
        <f t="shared" si="0"/>
        <v>Moderate Risk</v>
      </c>
      <c r="J36" s="2">
        <v>94.1</v>
      </c>
      <c r="K36" s="2" t="str">
        <f t="shared" si="1"/>
        <v>High Confidence</v>
      </c>
      <c r="L36" s="2" t="s">
        <v>22</v>
      </c>
      <c r="M36" s="2" t="str">
        <f t="shared" si="2"/>
        <v>Human Content</v>
      </c>
      <c r="N36" s="2">
        <v>0.50700000000000001</v>
      </c>
      <c r="O36" s="2" t="s">
        <v>23</v>
      </c>
      <c r="P36" s="2">
        <v>3425948</v>
      </c>
      <c r="Q36" s="2" t="str">
        <f t="shared" si="3"/>
        <v>Medium</v>
      </c>
      <c r="R36" s="2">
        <v>10945382</v>
      </c>
      <c r="S36" s="2" t="str">
        <f t="shared" si="4"/>
        <v>Highly Viral</v>
      </c>
      <c r="T36" s="2" t="s">
        <v>24</v>
      </c>
      <c r="U36" s="3" t="s">
        <v>25</v>
      </c>
    </row>
    <row r="37" spans="1:21" x14ac:dyDescent="0.3">
      <c r="A37" s="4" t="s">
        <v>97</v>
      </c>
      <c r="B37" s="9">
        <v>45648</v>
      </c>
      <c r="C37" s="4" t="s">
        <v>34</v>
      </c>
      <c r="D37" s="4" t="s">
        <v>60</v>
      </c>
      <c r="E37" s="4" t="s">
        <v>35</v>
      </c>
      <c r="F37" s="4" t="s">
        <v>20</v>
      </c>
      <c r="G37" s="4" t="s">
        <v>37</v>
      </c>
      <c r="H37" s="14">
        <v>66.5</v>
      </c>
      <c r="I37" s="2" t="str">
        <f t="shared" si="0"/>
        <v>High Risk</v>
      </c>
      <c r="J37" s="4">
        <v>68.599999999999994</v>
      </c>
      <c r="K37" s="2" t="str">
        <f>IF(J37&gt;70,"High Confidence",IF(J37&gt;30,"Moderate Confidence",IF(J37&lt;30,"Low Confidence")))</f>
        <v>Moderate Confidence</v>
      </c>
      <c r="L37" s="4" t="s">
        <v>30</v>
      </c>
      <c r="M37" s="2" t="str">
        <f t="shared" si="2"/>
        <v>AI Generated</v>
      </c>
      <c r="N37" s="4">
        <v>0.748</v>
      </c>
      <c r="O37" s="4" t="s">
        <v>30</v>
      </c>
      <c r="P37" s="4">
        <v>4774100</v>
      </c>
      <c r="Q37" s="2" t="str">
        <f>IF(P37&gt;4000000,"High",IF(P37&gt;1000000,"Medium",IF(P37&lt;1000000,"Low")))</f>
        <v>High</v>
      </c>
      <c r="R37" s="4">
        <v>10098702</v>
      </c>
      <c r="S37" s="2" t="str">
        <f t="shared" si="4"/>
        <v>Highly Viral</v>
      </c>
      <c r="T37" s="4" t="s">
        <v>24</v>
      </c>
      <c r="U37" s="6" t="s">
        <v>48</v>
      </c>
    </row>
    <row r="38" spans="1:21" x14ac:dyDescent="0.3">
      <c r="A38" s="2" t="s">
        <v>98</v>
      </c>
      <c r="B38" s="8">
        <v>45572</v>
      </c>
      <c r="C38" s="2" t="s">
        <v>27</v>
      </c>
      <c r="D38" s="2" t="s">
        <v>40</v>
      </c>
      <c r="E38" s="2" t="s">
        <v>19</v>
      </c>
      <c r="F38" s="2" t="s">
        <v>20</v>
      </c>
      <c r="G38" s="2" t="s">
        <v>37</v>
      </c>
      <c r="H38" s="13">
        <v>78.599999999999994</v>
      </c>
      <c r="I38" s="2" t="str">
        <f t="shared" si="0"/>
        <v>High Risk</v>
      </c>
      <c r="J38" s="2">
        <v>79.7</v>
      </c>
      <c r="K38" s="2" t="str">
        <f t="shared" si="1"/>
        <v>High Confidence</v>
      </c>
      <c r="L38" s="2" t="s">
        <v>30</v>
      </c>
      <c r="M38" s="2" t="str">
        <f t="shared" si="2"/>
        <v>AI Generated</v>
      </c>
      <c r="N38" s="2">
        <v>0.32200000000000001</v>
      </c>
      <c r="O38" s="2" t="s">
        <v>22</v>
      </c>
      <c r="P38" s="2">
        <v>3709205</v>
      </c>
      <c r="Q38" s="2" t="str">
        <f t="shared" si="3"/>
        <v>Medium</v>
      </c>
      <c r="R38" s="2">
        <v>7171129</v>
      </c>
      <c r="S38" s="2" t="str">
        <f t="shared" si="4"/>
        <v>Highly Viral</v>
      </c>
      <c r="T38" s="2" t="s">
        <v>44</v>
      </c>
      <c r="U38" s="6" t="s">
        <v>48</v>
      </c>
    </row>
    <row r="39" spans="1:21" x14ac:dyDescent="0.3">
      <c r="A39" s="4" t="s">
        <v>99</v>
      </c>
      <c r="B39" s="9">
        <v>45534</v>
      </c>
      <c r="C39" s="4" t="s">
        <v>69</v>
      </c>
      <c r="D39" s="4" t="s">
        <v>18</v>
      </c>
      <c r="E39" s="4" t="s">
        <v>19</v>
      </c>
      <c r="F39" s="4" t="s">
        <v>58</v>
      </c>
      <c r="G39" s="4" t="s">
        <v>42</v>
      </c>
      <c r="H39" s="14">
        <v>63.3</v>
      </c>
      <c r="I39" s="2" t="str">
        <f t="shared" si="0"/>
        <v>High Risk</v>
      </c>
      <c r="J39" s="4">
        <v>66.400000000000006</v>
      </c>
      <c r="K39" s="2" t="str">
        <f t="shared" si="1"/>
        <v>Moderate Confidence</v>
      </c>
      <c r="L39" s="4" t="s">
        <v>30</v>
      </c>
      <c r="M39" s="2" t="str">
        <f t="shared" si="2"/>
        <v>AI Generated</v>
      </c>
      <c r="N39" s="4">
        <v>0.81799999999999995</v>
      </c>
      <c r="O39" s="4" t="s">
        <v>30</v>
      </c>
      <c r="P39" s="4">
        <v>2604087</v>
      </c>
      <c r="Q39" s="2" t="str">
        <f t="shared" si="3"/>
        <v>Medium</v>
      </c>
      <c r="R39" s="4">
        <v>7538189</v>
      </c>
      <c r="S39" s="2" t="str">
        <f t="shared" si="4"/>
        <v>Highly Viral</v>
      </c>
      <c r="T39" s="4" t="s">
        <v>31</v>
      </c>
      <c r="U39" s="5" t="s">
        <v>32</v>
      </c>
    </row>
    <row r="40" spans="1:21" x14ac:dyDescent="0.3">
      <c r="A40" s="2" t="s">
        <v>100</v>
      </c>
      <c r="B40" s="8">
        <v>45367</v>
      </c>
      <c r="C40" s="2" t="s">
        <v>27</v>
      </c>
      <c r="D40" s="2" t="s">
        <v>18</v>
      </c>
      <c r="E40" s="2" t="s">
        <v>28</v>
      </c>
      <c r="F40" s="2" t="s">
        <v>76</v>
      </c>
      <c r="G40" s="2" t="s">
        <v>29</v>
      </c>
      <c r="H40" s="13">
        <v>85</v>
      </c>
      <c r="I40" s="2" t="str">
        <f t="shared" si="0"/>
        <v>High Risk</v>
      </c>
      <c r="J40" s="2">
        <v>53.6</v>
      </c>
      <c r="K40" s="2" t="str">
        <f t="shared" si="1"/>
        <v>Moderate Confidence</v>
      </c>
      <c r="L40" s="2" t="s">
        <v>30</v>
      </c>
      <c r="M40" s="2" t="str">
        <f t="shared" si="2"/>
        <v>AI Generated</v>
      </c>
      <c r="N40" s="2">
        <v>0.41399999999999998</v>
      </c>
      <c r="O40" s="2" t="s">
        <v>23</v>
      </c>
      <c r="P40" s="2">
        <v>4829177</v>
      </c>
      <c r="Q40" s="2" t="str">
        <f t="shared" si="3"/>
        <v>High</v>
      </c>
      <c r="R40" s="2">
        <v>6524663</v>
      </c>
      <c r="S40" s="2" t="str">
        <f t="shared" si="4"/>
        <v>Highly Viral</v>
      </c>
      <c r="T40" s="2" t="s">
        <v>24</v>
      </c>
      <c r="U40" s="6" t="s">
        <v>48</v>
      </c>
    </row>
    <row r="41" spans="1:21" x14ac:dyDescent="0.3">
      <c r="A41" s="4" t="s">
        <v>101</v>
      </c>
      <c r="B41" s="9">
        <v>45545</v>
      </c>
      <c r="C41" s="4" t="s">
        <v>78</v>
      </c>
      <c r="D41" s="4" t="s">
        <v>50</v>
      </c>
      <c r="E41" s="4" t="s">
        <v>35</v>
      </c>
      <c r="F41" s="4" t="s">
        <v>36</v>
      </c>
      <c r="G41" s="4" t="s">
        <v>42</v>
      </c>
      <c r="H41" s="14">
        <v>0.6</v>
      </c>
      <c r="I41" s="2" t="str">
        <f t="shared" si="0"/>
        <v>Moderate Risk</v>
      </c>
      <c r="J41" s="4">
        <v>86.8</v>
      </c>
      <c r="K41" s="2" t="str">
        <f t="shared" si="1"/>
        <v>High Confidence</v>
      </c>
      <c r="L41" s="4" t="s">
        <v>22</v>
      </c>
      <c r="M41" s="2" t="str">
        <f t="shared" si="2"/>
        <v>Human Content</v>
      </c>
      <c r="N41" s="4">
        <v>0.77</v>
      </c>
      <c r="O41" s="4" t="s">
        <v>30</v>
      </c>
      <c r="P41" s="4">
        <v>3566484</v>
      </c>
      <c r="Q41" s="2" t="str">
        <f t="shared" si="3"/>
        <v>Medium</v>
      </c>
      <c r="R41" s="4">
        <v>7343590</v>
      </c>
      <c r="S41" s="2" t="str">
        <f t="shared" si="4"/>
        <v>Highly Viral</v>
      </c>
      <c r="T41" s="4" t="s">
        <v>31</v>
      </c>
      <c r="U41" s="3" t="s">
        <v>25</v>
      </c>
    </row>
    <row r="42" spans="1:21" x14ac:dyDescent="0.3">
      <c r="A42" s="2" t="s">
        <v>102</v>
      </c>
      <c r="B42" s="8">
        <v>45648</v>
      </c>
      <c r="C42" s="2" t="s">
        <v>54</v>
      </c>
      <c r="D42" s="2" t="s">
        <v>18</v>
      </c>
      <c r="E42" s="2" t="s">
        <v>28</v>
      </c>
      <c r="F42" s="2" t="s">
        <v>41</v>
      </c>
      <c r="G42" s="2" t="s">
        <v>37</v>
      </c>
      <c r="H42" s="13">
        <v>13.3</v>
      </c>
      <c r="I42" s="2" t="str">
        <f t="shared" si="0"/>
        <v>Moderate Risk</v>
      </c>
      <c r="J42" s="2">
        <v>72.8</v>
      </c>
      <c r="K42" s="2" t="str">
        <f t="shared" si="1"/>
        <v>High Confidence</v>
      </c>
      <c r="L42" s="2" t="s">
        <v>22</v>
      </c>
      <c r="M42" s="2" t="str">
        <f t="shared" si="2"/>
        <v>Human Content</v>
      </c>
      <c r="N42" s="2">
        <v>0.53100000000000003</v>
      </c>
      <c r="O42" s="2" t="s">
        <v>23</v>
      </c>
      <c r="P42" s="2">
        <v>4995116</v>
      </c>
      <c r="Q42" s="2" t="str">
        <f t="shared" si="3"/>
        <v>High</v>
      </c>
      <c r="R42" s="2">
        <v>10647252</v>
      </c>
      <c r="S42" s="2" t="str">
        <f t="shared" si="4"/>
        <v>Highly Viral</v>
      </c>
      <c r="T42" s="2" t="s">
        <v>24</v>
      </c>
      <c r="U42" s="3" t="s">
        <v>25</v>
      </c>
    </row>
    <row r="43" spans="1:21" x14ac:dyDescent="0.3">
      <c r="A43" s="4" t="s">
        <v>103</v>
      </c>
      <c r="B43" s="9">
        <v>45605</v>
      </c>
      <c r="C43" s="4" t="s">
        <v>78</v>
      </c>
      <c r="D43" s="4" t="s">
        <v>60</v>
      </c>
      <c r="E43" s="4" t="s">
        <v>71</v>
      </c>
      <c r="F43" s="4" t="s">
        <v>20</v>
      </c>
      <c r="G43" s="4" t="s">
        <v>42</v>
      </c>
      <c r="H43" s="14">
        <v>86.1</v>
      </c>
      <c r="I43" s="2" t="str">
        <f t="shared" si="0"/>
        <v>High Risk</v>
      </c>
      <c r="J43" s="4">
        <v>72.099999999999994</v>
      </c>
      <c r="K43" s="2" t="str">
        <f t="shared" si="1"/>
        <v>High Confidence</v>
      </c>
      <c r="L43" s="4" t="s">
        <v>30</v>
      </c>
      <c r="M43" s="2" t="str">
        <f t="shared" si="2"/>
        <v>AI Generated</v>
      </c>
      <c r="N43" s="4">
        <v>0.752</v>
      </c>
      <c r="O43" s="4" t="s">
        <v>23</v>
      </c>
      <c r="P43" s="4">
        <v>2326356</v>
      </c>
      <c r="Q43" s="2" t="str">
        <f t="shared" si="3"/>
        <v>Medium</v>
      </c>
      <c r="R43" s="4">
        <v>17492419</v>
      </c>
      <c r="S43" s="2" t="str">
        <f t="shared" si="4"/>
        <v>Highly Viral</v>
      </c>
      <c r="T43" s="4" t="s">
        <v>24</v>
      </c>
      <c r="U43" s="6" t="s">
        <v>48</v>
      </c>
    </row>
    <row r="44" spans="1:21" x14ac:dyDescent="0.3">
      <c r="A44" s="2" t="s">
        <v>104</v>
      </c>
      <c r="B44" s="8">
        <v>45612</v>
      </c>
      <c r="C44" s="2" t="s">
        <v>46</v>
      </c>
      <c r="D44" s="2" t="s">
        <v>40</v>
      </c>
      <c r="E44" s="2" t="s">
        <v>71</v>
      </c>
      <c r="F44" s="2" t="s">
        <v>41</v>
      </c>
      <c r="G44" s="2" t="s">
        <v>42</v>
      </c>
      <c r="H44" s="13">
        <v>28.6</v>
      </c>
      <c r="I44" s="2" t="str">
        <f t="shared" si="0"/>
        <v>Moderate Risk</v>
      </c>
      <c r="J44" s="2">
        <v>63.3</v>
      </c>
      <c r="K44" s="2" t="str">
        <f t="shared" si="1"/>
        <v>Moderate Confidence</v>
      </c>
      <c r="L44" s="2" t="s">
        <v>22</v>
      </c>
      <c r="M44" s="2" t="str">
        <f t="shared" si="2"/>
        <v>Human Content</v>
      </c>
      <c r="N44" s="2">
        <v>0.32</v>
      </c>
      <c r="O44" s="2" t="s">
        <v>23</v>
      </c>
      <c r="P44" s="2">
        <v>676034</v>
      </c>
      <c r="Q44" s="2" t="str">
        <f t="shared" si="3"/>
        <v>Low</v>
      </c>
      <c r="R44" s="2">
        <v>4643563</v>
      </c>
      <c r="S44" s="2" t="str">
        <f t="shared" si="4"/>
        <v>Moderately Viral</v>
      </c>
      <c r="T44" s="2" t="s">
        <v>31</v>
      </c>
      <c r="U44" s="3" t="s">
        <v>25</v>
      </c>
    </row>
    <row r="45" spans="1:21" x14ac:dyDescent="0.3">
      <c r="A45" s="4" t="s">
        <v>105</v>
      </c>
      <c r="B45" s="9">
        <v>45410</v>
      </c>
      <c r="C45" s="4" t="s">
        <v>78</v>
      </c>
      <c r="D45" s="4" t="s">
        <v>50</v>
      </c>
      <c r="E45" s="4" t="s">
        <v>28</v>
      </c>
      <c r="F45" s="4" t="s">
        <v>41</v>
      </c>
      <c r="G45" s="4" t="s">
        <v>37</v>
      </c>
      <c r="H45" s="14">
        <v>40.799999999999997</v>
      </c>
      <c r="I45" s="2" t="str">
        <f t="shared" si="0"/>
        <v>Moderate Risk</v>
      </c>
      <c r="J45" s="4">
        <v>76.599999999999994</v>
      </c>
      <c r="K45" s="2" t="str">
        <f t="shared" si="1"/>
        <v>High Confidence</v>
      </c>
      <c r="L45" s="4" t="s">
        <v>43</v>
      </c>
      <c r="M45" s="2" t="str">
        <f t="shared" si="2"/>
        <v>Human Content</v>
      </c>
      <c r="N45" s="4">
        <v>0.41599999999999998</v>
      </c>
      <c r="O45" s="4" t="s">
        <v>30</v>
      </c>
      <c r="P45" s="4">
        <v>3524519</v>
      </c>
      <c r="Q45" s="2" t="str">
        <f t="shared" si="3"/>
        <v>Medium</v>
      </c>
      <c r="R45" s="4">
        <v>13069173</v>
      </c>
      <c r="S45" s="2" t="str">
        <f t="shared" si="4"/>
        <v>Highly Viral</v>
      </c>
      <c r="T45" s="4" t="s">
        <v>44</v>
      </c>
      <c r="U45" s="5" t="s">
        <v>32</v>
      </c>
    </row>
    <row r="46" spans="1:21" x14ac:dyDescent="0.3">
      <c r="A46" s="2" t="s">
        <v>106</v>
      </c>
      <c r="B46" s="8">
        <v>45648</v>
      </c>
      <c r="C46" s="2" t="s">
        <v>27</v>
      </c>
      <c r="D46" s="2" t="s">
        <v>60</v>
      </c>
      <c r="E46" s="2" t="s">
        <v>88</v>
      </c>
      <c r="F46" s="2" t="s">
        <v>76</v>
      </c>
      <c r="G46" s="2" t="s">
        <v>67</v>
      </c>
      <c r="H46" s="13">
        <v>94.3</v>
      </c>
      <c r="I46" s="2" t="str">
        <f t="shared" si="0"/>
        <v>High Risk</v>
      </c>
      <c r="J46" s="2">
        <v>64.599999999999994</v>
      </c>
      <c r="K46" s="2" t="str">
        <f t="shared" si="1"/>
        <v>Moderate Confidence</v>
      </c>
      <c r="L46" s="2" t="s">
        <v>30</v>
      </c>
      <c r="M46" s="2" t="str">
        <f t="shared" si="2"/>
        <v>AI Generated</v>
      </c>
      <c r="N46" s="2">
        <v>0.39</v>
      </c>
      <c r="O46" s="2" t="s">
        <v>22</v>
      </c>
      <c r="P46" s="2">
        <v>4515021</v>
      </c>
      <c r="Q46" s="2" t="str">
        <f t="shared" si="3"/>
        <v>High</v>
      </c>
      <c r="R46" s="2">
        <v>18325659</v>
      </c>
      <c r="S46" s="2" t="str">
        <f>IF(R46&gt;5000000,"Highly Viral",IF(R46&gt;1000000,"Moderately Viral",IF(R46&lt;500000,"Low Viral")))</f>
        <v>Highly Viral</v>
      </c>
      <c r="T46" s="2" t="s">
        <v>44</v>
      </c>
      <c r="U46" s="6" t="s">
        <v>48</v>
      </c>
    </row>
    <row r="47" spans="1:21" x14ac:dyDescent="0.3">
      <c r="A47" s="4" t="s">
        <v>107</v>
      </c>
      <c r="B47" s="9">
        <v>45404</v>
      </c>
      <c r="C47" s="4" t="s">
        <v>54</v>
      </c>
      <c r="D47" s="4" t="s">
        <v>50</v>
      </c>
      <c r="E47" s="4" t="s">
        <v>19</v>
      </c>
      <c r="F47" s="4" t="s">
        <v>76</v>
      </c>
      <c r="G47" s="4" t="s">
        <v>37</v>
      </c>
      <c r="H47" s="14">
        <v>2.9</v>
      </c>
      <c r="I47" s="2" t="str">
        <f t="shared" si="0"/>
        <v>Moderate Risk</v>
      </c>
      <c r="J47" s="4">
        <v>66.5</v>
      </c>
      <c r="K47" s="2" t="str">
        <f t="shared" si="1"/>
        <v>Moderate Confidence</v>
      </c>
      <c r="L47" s="4" t="s">
        <v>22</v>
      </c>
      <c r="M47" s="2" t="str">
        <f t="shared" si="2"/>
        <v>Human Content</v>
      </c>
      <c r="N47" s="4">
        <v>0.67900000000000005</v>
      </c>
      <c r="O47" s="4" t="s">
        <v>22</v>
      </c>
      <c r="P47" s="4">
        <v>1384595</v>
      </c>
      <c r="Q47" s="2" t="str">
        <f t="shared" si="3"/>
        <v>Medium</v>
      </c>
      <c r="R47" s="4">
        <v>15683510</v>
      </c>
      <c r="S47" s="2" t="str">
        <f t="shared" si="4"/>
        <v>Highly Viral</v>
      </c>
      <c r="T47" s="4" t="s">
        <v>31</v>
      </c>
      <c r="U47" s="3" t="s">
        <v>25</v>
      </c>
    </row>
    <row r="48" spans="1:21" x14ac:dyDescent="0.3">
      <c r="A48" s="2" t="s">
        <v>108</v>
      </c>
      <c r="B48" s="8">
        <v>45610</v>
      </c>
      <c r="C48" s="2" t="s">
        <v>27</v>
      </c>
      <c r="D48" s="2" t="s">
        <v>55</v>
      </c>
      <c r="E48" s="2" t="s">
        <v>47</v>
      </c>
      <c r="F48" s="2" t="s">
        <v>41</v>
      </c>
      <c r="G48" s="2" t="s">
        <v>42</v>
      </c>
      <c r="H48" s="13">
        <v>42.9</v>
      </c>
      <c r="I48" s="2" t="str">
        <f t="shared" si="0"/>
        <v>Moderate Risk</v>
      </c>
      <c r="J48" s="2">
        <v>92.5</v>
      </c>
      <c r="K48" s="2" t="str">
        <f t="shared" si="1"/>
        <v>High Confidence</v>
      </c>
      <c r="L48" s="2" t="s">
        <v>43</v>
      </c>
      <c r="M48" s="2" t="str">
        <f t="shared" si="2"/>
        <v>Human Content</v>
      </c>
      <c r="N48" s="2">
        <v>0.182</v>
      </c>
      <c r="O48" s="2" t="s">
        <v>22</v>
      </c>
      <c r="P48" s="2">
        <v>3180253</v>
      </c>
      <c r="Q48" s="2" t="str">
        <f t="shared" si="3"/>
        <v>Medium</v>
      </c>
      <c r="R48" s="2">
        <v>10984632</v>
      </c>
      <c r="S48" s="2" t="str">
        <f t="shared" si="4"/>
        <v>Highly Viral</v>
      </c>
      <c r="T48" s="2" t="s">
        <v>31</v>
      </c>
      <c r="U48" s="5" t="s">
        <v>32</v>
      </c>
    </row>
    <row r="49" spans="1:21" x14ac:dyDescent="0.3">
      <c r="A49" s="4" t="s">
        <v>109</v>
      </c>
      <c r="B49" s="9">
        <v>45524</v>
      </c>
      <c r="C49" s="4" t="s">
        <v>39</v>
      </c>
      <c r="D49" s="4" t="s">
        <v>40</v>
      </c>
      <c r="E49" s="4" t="s">
        <v>88</v>
      </c>
      <c r="F49" s="4" t="s">
        <v>52</v>
      </c>
      <c r="G49" s="4" t="s">
        <v>74</v>
      </c>
      <c r="H49" s="14">
        <v>95.1</v>
      </c>
      <c r="I49" s="2" t="str">
        <f t="shared" si="0"/>
        <v>High Risk</v>
      </c>
      <c r="J49" s="4">
        <v>70.7</v>
      </c>
      <c r="K49" s="2" t="str">
        <f t="shared" si="1"/>
        <v>High Confidence</v>
      </c>
      <c r="L49" s="4" t="s">
        <v>30</v>
      </c>
      <c r="M49" s="2" t="str">
        <f t="shared" si="2"/>
        <v>AI Generated</v>
      </c>
      <c r="N49" s="4">
        <v>0.83499999999999996</v>
      </c>
      <c r="O49" s="4" t="s">
        <v>22</v>
      </c>
      <c r="P49" s="4">
        <v>162698</v>
      </c>
      <c r="Q49" s="2" t="str">
        <f t="shared" si="3"/>
        <v>Low</v>
      </c>
      <c r="R49" s="4">
        <v>18100399</v>
      </c>
      <c r="S49" s="2" t="str">
        <f t="shared" si="4"/>
        <v>Highly Viral</v>
      </c>
      <c r="T49" s="4" t="s">
        <v>61</v>
      </c>
      <c r="U49" s="6" t="s">
        <v>48</v>
      </c>
    </row>
    <row r="50" spans="1:21" x14ac:dyDescent="0.3">
      <c r="A50" s="2" t="s">
        <v>110</v>
      </c>
      <c r="B50" s="8">
        <v>45471</v>
      </c>
      <c r="C50" s="2" t="s">
        <v>46</v>
      </c>
      <c r="D50" s="2" t="s">
        <v>18</v>
      </c>
      <c r="E50" s="2" t="s">
        <v>47</v>
      </c>
      <c r="F50" s="2" t="s">
        <v>41</v>
      </c>
      <c r="G50" s="2" t="s">
        <v>21</v>
      </c>
      <c r="H50" s="13">
        <v>19.899999999999999</v>
      </c>
      <c r="I50" s="2" t="str">
        <f t="shared" si="0"/>
        <v>Moderate Risk</v>
      </c>
      <c r="J50" s="2">
        <v>51</v>
      </c>
      <c r="K50" s="2" t="str">
        <f t="shared" si="1"/>
        <v>Moderate Confidence</v>
      </c>
      <c r="L50" s="2" t="s">
        <v>22</v>
      </c>
      <c r="M50" s="2" t="str">
        <f t="shared" si="2"/>
        <v>Human Content</v>
      </c>
      <c r="N50" s="2">
        <v>0.152</v>
      </c>
      <c r="O50" s="2" t="s">
        <v>30</v>
      </c>
      <c r="P50" s="2">
        <v>3972618</v>
      </c>
      <c r="Q50" s="2" t="str">
        <f t="shared" si="3"/>
        <v>Medium</v>
      </c>
      <c r="R50" s="2">
        <v>3838772</v>
      </c>
      <c r="S50" s="2" t="str">
        <f t="shared" si="4"/>
        <v>Moderately Viral</v>
      </c>
      <c r="T50" s="2" t="s">
        <v>44</v>
      </c>
      <c r="U50" s="3" t="s">
        <v>25</v>
      </c>
    </row>
    <row r="51" spans="1:21" x14ac:dyDescent="0.3">
      <c r="A51" s="4" t="s">
        <v>111</v>
      </c>
      <c r="B51" s="9">
        <v>45403</v>
      </c>
      <c r="C51" s="4" t="s">
        <v>54</v>
      </c>
      <c r="D51" s="4" t="s">
        <v>40</v>
      </c>
      <c r="E51" s="4" t="s">
        <v>51</v>
      </c>
      <c r="F51" s="4" t="s">
        <v>20</v>
      </c>
      <c r="G51" s="4" t="s">
        <v>29</v>
      </c>
      <c r="H51" s="14">
        <v>60.7</v>
      </c>
      <c r="I51" s="2" t="str">
        <f t="shared" si="0"/>
        <v>High Risk</v>
      </c>
      <c r="J51" s="4">
        <v>86.6</v>
      </c>
      <c r="K51" s="2" t="str">
        <f t="shared" si="1"/>
        <v>High Confidence</v>
      </c>
      <c r="L51" s="4" t="s">
        <v>30</v>
      </c>
      <c r="M51" s="2" t="str">
        <f t="shared" si="2"/>
        <v>AI Generated</v>
      </c>
      <c r="N51" s="4">
        <v>0.115</v>
      </c>
      <c r="O51" s="4" t="s">
        <v>30</v>
      </c>
      <c r="P51" s="4">
        <v>2609283</v>
      </c>
      <c r="Q51" s="2" t="str">
        <f t="shared" si="3"/>
        <v>Medium</v>
      </c>
      <c r="R51" s="4">
        <v>3627692</v>
      </c>
      <c r="S51" s="2" t="str">
        <f t="shared" si="4"/>
        <v>Moderately Viral</v>
      </c>
      <c r="T51" s="4" t="s">
        <v>44</v>
      </c>
      <c r="U51" s="5" t="s">
        <v>32</v>
      </c>
    </row>
    <row r="52" spans="1:21" x14ac:dyDescent="0.3">
      <c r="A52" s="2" t="s">
        <v>112</v>
      </c>
      <c r="B52" s="8">
        <v>45305</v>
      </c>
      <c r="C52" s="2" t="s">
        <v>34</v>
      </c>
      <c r="D52" s="2" t="s">
        <v>60</v>
      </c>
      <c r="E52" s="2" t="s">
        <v>88</v>
      </c>
      <c r="F52" s="2" t="s">
        <v>76</v>
      </c>
      <c r="G52" s="2" t="s">
        <v>42</v>
      </c>
      <c r="H52" s="13">
        <v>19.8</v>
      </c>
      <c r="I52" s="2" t="str">
        <f t="shared" si="0"/>
        <v>Moderate Risk</v>
      </c>
      <c r="J52" s="2">
        <v>79</v>
      </c>
      <c r="K52" s="2" t="str">
        <f t="shared" si="1"/>
        <v>High Confidence</v>
      </c>
      <c r="L52" s="2" t="s">
        <v>22</v>
      </c>
      <c r="M52" s="2" t="str">
        <f t="shared" si="2"/>
        <v>Human Content</v>
      </c>
      <c r="N52" s="2">
        <v>0.83099999999999996</v>
      </c>
      <c r="O52" s="2" t="s">
        <v>30</v>
      </c>
      <c r="P52" s="2">
        <v>854910</v>
      </c>
      <c r="Q52" s="2" t="str">
        <f t="shared" si="3"/>
        <v>Low</v>
      </c>
      <c r="R52" s="2">
        <v>10119935</v>
      </c>
      <c r="S52" s="2" t="str">
        <f t="shared" si="4"/>
        <v>Highly Viral</v>
      </c>
      <c r="T52" s="2" t="s">
        <v>44</v>
      </c>
      <c r="U52" s="3" t="s">
        <v>25</v>
      </c>
    </row>
    <row r="53" spans="1:21" x14ac:dyDescent="0.3">
      <c r="A53" s="4" t="s">
        <v>113</v>
      </c>
      <c r="B53" s="9">
        <v>45353</v>
      </c>
      <c r="C53" s="4" t="s">
        <v>27</v>
      </c>
      <c r="D53" s="4" t="s">
        <v>40</v>
      </c>
      <c r="E53" s="4" t="s">
        <v>88</v>
      </c>
      <c r="F53" s="4" t="s">
        <v>36</v>
      </c>
      <c r="G53" s="4" t="s">
        <v>64</v>
      </c>
      <c r="H53" s="14">
        <v>6.9</v>
      </c>
      <c r="I53" s="2" t="str">
        <f t="shared" si="0"/>
        <v>Moderate Risk</v>
      </c>
      <c r="J53" s="4">
        <v>81.7</v>
      </c>
      <c r="K53" s="2" t="str">
        <f>IF(J53&gt;70,"High Confidence",IF(J53&gt;30,"Moderate Confidence",IF(J53&lt;30,"Low Confidence")))</f>
        <v>High Confidence</v>
      </c>
      <c r="L53" s="4" t="s">
        <v>22</v>
      </c>
      <c r="M53" s="2" t="str">
        <f t="shared" si="2"/>
        <v>Human Content</v>
      </c>
      <c r="N53" s="4">
        <v>1.2999999999999999E-2</v>
      </c>
      <c r="O53" s="4" t="s">
        <v>22</v>
      </c>
      <c r="P53" s="4">
        <v>4112209</v>
      </c>
      <c r="Q53" s="2" t="str">
        <f t="shared" si="3"/>
        <v>High</v>
      </c>
      <c r="R53" s="4">
        <v>3541796</v>
      </c>
      <c r="S53" s="2" t="str">
        <f t="shared" si="4"/>
        <v>Moderately Viral</v>
      </c>
      <c r="T53" s="4" t="s">
        <v>24</v>
      </c>
      <c r="U53" s="3" t="s">
        <v>25</v>
      </c>
    </row>
    <row r="54" spans="1:21" x14ac:dyDescent="0.3">
      <c r="A54" s="2" t="s">
        <v>114</v>
      </c>
      <c r="B54" s="8">
        <v>45477</v>
      </c>
      <c r="C54" s="2" t="s">
        <v>54</v>
      </c>
      <c r="D54" s="2" t="s">
        <v>50</v>
      </c>
      <c r="E54" s="2" t="s">
        <v>88</v>
      </c>
      <c r="F54" s="2" t="s">
        <v>20</v>
      </c>
      <c r="G54" s="2" t="s">
        <v>42</v>
      </c>
      <c r="H54" s="13">
        <v>52.2</v>
      </c>
      <c r="I54" s="2" t="str">
        <f t="shared" si="0"/>
        <v>Moderate Risk</v>
      </c>
      <c r="J54" s="2">
        <v>81.900000000000006</v>
      </c>
      <c r="K54" s="2" t="str">
        <f t="shared" si="1"/>
        <v>High Confidence</v>
      </c>
      <c r="L54" s="2" t="s">
        <v>43</v>
      </c>
      <c r="M54" s="2" t="str">
        <f t="shared" si="2"/>
        <v>Human Content</v>
      </c>
      <c r="N54" s="2">
        <v>0.61599999999999999</v>
      </c>
      <c r="O54" s="2" t="s">
        <v>23</v>
      </c>
      <c r="P54" s="2">
        <v>4055971</v>
      </c>
      <c r="Q54" s="2" t="str">
        <f t="shared" si="3"/>
        <v>High</v>
      </c>
      <c r="R54" s="2">
        <v>15599075</v>
      </c>
      <c r="S54" s="2" t="str">
        <f t="shared" si="4"/>
        <v>Highly Viral</v>
      </c>
      <c r="T54" s="2" t="s">
        <v>24</v>
      </c>
      <c r="U54" s="5" t="s">
        <v>32</v>
      </c>
    </row>
    <row r="55" spans="1:21" x14ac:dyDescent="0.3">
      <c r="A55" s="4" t="s">
        <v>115</v>
      </c>
      <c r="B55" s="9">
        <v>45595</v>
      </c>
      <c r="C55" s="4" t="s">
        <v>34</v>
      </c>
      <c r="D55" s="4" t="s">
        <v>40</v>
      </c>
      <c r="E55" s="4" t="s">
        <v>28</v>
      </c>
      <c r="F55" s="4" t="s">
        <v>41</v>
      </c>
      <c r="G55" s="4" t="s">
        <v>64</v>
      </c>
      <c r="H55" s="14">
        <v>88.2</v>
      </c>
      <c r="I55" s="2" t="str">
        <f t="shared" si="0"/>
        <v>High Risk</v>
      </c>
      <c r="J55" s="4">
        <v>61.9</v>
      </c>
      <c r="K55" s="2" t="str">
        <f t="shared" si="1"/>
        <v>Moderate Confidence</v>
      </c>
      <c r="L55" s="4" t="s">
        <v>30</v>
      </c>
      <c r="M55" s="2" t="str">
        <f t="shared" si="2"/>
        <v>AI Generated</v>
      </c>
      <c r="N55" s="4">
        <v>0.46500000000000002</v>
      </c>
      <c r="O55" s="4" t="s">
        <v>23</v>
      </c>
      <c r="P55" s="4">
        <v>3179292</v>
      </c>
      <c r="Q55" s="2" t="str">
        <f t="shared" si="3"/>
        <v>Medium</v>
      </c>
      <c r="R55" s="4">
        <v>11288097</v>
      </c>
      <c r="S55" s="2" t="str">
        <f t="shared" si="4"/>
        <v>Highly Viral</v>
      </c>
      <c r="T55" s="4" t="s">
        <v>61</v>
      </c>
      <c r="U55" s="6" t="s">
        <v>48</v>
      </c>
    </row>
    <row r="56" spans="1:21" x14ac:dyDescent="0.3">
      <c r="A56" s="2" t="s">
        <v>116</v>
      </c>
      <c r="B56" s="8">
        <v>45545</v>
      </c>
      <c r="C56" s="2" t="s">
        <v>39</v>
      </c>
      <c r="D56" s="2" t="s">
        <v>50</v>
      </c>
      <c r="E56" s="2" t="s">
        <v>71</v>
      </c>
      <c r="F56" s="2" t="s">
        <v>20</v>
      </c>
      <c r="G56" s="2" t="s">
        <v>64</v>
      </c>
      <c r="H56" s="13">
        <v>79.8</v>
      </c>
      <c r="I56" s="2" t="str">
        <f t="shared" si="0"/>
        <v>High Risk</v>
      </c>
      <c r="J56" s="2">
        <v>66.7</v>
      </c>
      <c r="K56" s="2" t="str">
        <f t="shared" si="1"/>
        <v>Moderate Confidence</v>
      </c>
      <c r="L56" s="2" t="s">
        <v>30</v>
      </c>
      <c r="M56" s="2" t="str">
        <f t="shared" si="2"/>
        <v>AI Generated</v>
      </c>
      <c r="N56" s="2">
        <v>0.88</v>
      </c>
      <c r="O56" s="2" t="s">
        <v>23</v>
      </c>
      <c r="P56" s="2">
        <v>2317608</v>
      </c>
      <c r="Q56" s="2" t="str">
        <f>IF(P56&gt;4000000,"High",IF(P56&gt;1000000,"Medium",IF(P56&lt;1000000,"Low")))</f>
        <v>Medium</v>
      </c>
      <c r="R56" s="2">
        <v>18649752</v>
      </c>
      <c r="S56" s="2" t="str">
        <f t="shared" si="4"/>
        <v>Highly Viral</v>
      </c>
      <c r="T56" s="2" t="s">
        <v>61</v>
      </c>
      <c r="U56" s="6" t="s">
        <v>48</v>
      </c>
    </row>
    <row r="57" spans="1:21" x14ac:dyDescent="0.3">
      <c r="A57" s="4" t="s">
        <v>117</v>
      </c>
      <c r="B57" s="9">
        <v>45556</v>
      </c>
      <c r="C57" s="4" t="s">
        <v>46</v>
      </c>
      <c r="D57" s="4" t="s">
        <v>18</v>
      </c>
      <c r="E57" s="4" t="s">
        <v>28</v>
      </c>
      <c r="F57" s="4" t="s">
        <v>36</v>
      </c>
      <c r="G57" s="4" t="s">
        <v>37</v>
      </c>
      <c r="H57" s="14">
        <v>48.9</v>
      </c>
      <c r="I57" s="2" t="str">
        <f t="shared" si="0"/>
        <v>Moderate Risk</v>
      </c>
      <c r="J57" s="4">
        <v>87.2</v>
      </c>
      <c r="K57" s="2" t="str">
        <f t="shared" si="1"/>
        <v>High Confidence</v>
      </c>
      <c r="L57" s="4" t="s">
        <v>43</v>
      </c>
      <c r="M57" s="2" t="str">
        <f t="shared" si="2"/>
        <v>Human Content</v>
      </c>
      <c r="N57" s="4">
        <v>0.69099999999999995</v>
      </c>
      <c r="O57" s="4" t="s">
        <v>23</v>
      </c>
      <c r="P57" s="4">
        <v>4117407</v>
      </c>
      <c r="Q57" s="2" t="str">
        <f t="shared" si="3"/>
        <v>High</v>
      </c>
      <c r="R57" s="4">
        <v>15038742</v>
      </c>
      <c r="S57" s="2" t="str">
        <f t="shared" si="4"/>
        <v>Highly Viral</v>
      </c>
      <c r="T57" s="4" t="s">
        <v>61</v>
      </c>
      <c r="U57" s="5" t="s">
        <v>32</v>
      </c>
    </row>
    <row r="58" spans="1:21" x14ac:dyDescent="0.3">
      <c r="A58" s="2" t="s">
        <v>118</v>
      </c>
      <c r="B58" s="8">
        <v>45339</v>
      </c>
      <c r="C58" s="2" t="s">
        <v>34</v>
      </c>
      <c r="D58" s="2" t="s">
        <v>50</v>
      </c>
      <c r="E58" s="2" t="s">
        <v>88</v>
      </c>
      <c r="F58" s="2" t="s">
        <v>36</v>
      </c>
      <c r="G58" s="2" t="s">
        <v>21</v>
      </c>
      <c r="H58" s="13">
        <v>30.6</v>
      </c>
      <c r="I58" s="2" t="str">
        <f t="shared" si="0"/>
        <v>Moderate Risk</v>
      </c>
      <c r="J58" s="2">
        <v>78.5</v>
      </c>
      <c r="K58" s="2" t="str">
        <f t="shared" si="1"/>
        <v>High Confidence</v>
      </c>
      <c r="L58" s="2" t="s">
        <v>22</v>
      </c>
      <c r="M58" s="2" t="str">
        <f t="shared" si="2"/>
        <v>Human Content</v>
      </c>
      <c r="N58" s="2">
        <v>0.47299999999999998</v>
      </c>
      <c r="O58" s="2" t="s">
        <v>23</v>
      </c>
      <c r="P58" s="2">
        <v>2883746</v>
      </c>
      <c r="Q58" s="2" t="str">
        <f>IF(P58&gt;4000000,"High",IF(P58&gt;1000000,"Medium",IF(P58&lt;1000000,"Low")))</f>
        <v>Medium</v>
      </c>
      <c r="R58" s="2">
        <v>14278038</v>
      </c>
      <c r="S58" s="2" t="str">
        <f t="shared" si="4"/>
        <v>Highly Viral</v>
      </c>
      <c r="T58" s="2" t="s">
        <v>44</v>
      </c>
      <c r="U58" s="3" t="s">
        <v>25</v>
      </c>
    </row>
    <row r="59" spans="1:21" x14ac:dyDescent="0.3">
      <c r="A59" s="4" t="s">
        <v>119</v>
      </c>
      <c r="B59" s="9">
        <v>45461</v>
      </c>
      <c r="C59" s="4" t="s">
        <v>39</v>
      </c>
      <c r="D59" s="4" t="s">
        <v>55</v>
      </c>
      <c r="E59" s="4" t="s">
        <v>19</v>
      </c>
      <c r="F59" s="4" t="s">
        <v>52</v>
      </c>
      <c r="G59" s="4" t="s">
        <v>64</v>
      </c>
      <c r="H59" s="14">
        <v>23.1</v>
      </c>
      <c r="I59" s="2" t="str">
        <f t="shared" si="0"/>
        <v>Moderate Risk</v>
      </c>
      <c r="J59" s="4">
        <v>85.3</v>
      </c>
      <c r="K59" s="2" t="str">
        <f t="shared" si="1"/>
        <v>High Confidence</v>
      </c>
      <c r="L59" s="4" t="s">
        <v>22</v>
      </c>
      <c r="M59" s="2" t="str">
        <f t="shared" si="2"/>
        <v>Human Content</v>
      </c>
      <c r="N59" s="4">
        <v>0.316</v>
      </c>
      <c r="O59" s="4" t="s">
        <v>23</v>
      </c>
      <c r="P59" s="4">
        <v>4495252</v>
      </c>
      <c r="Q59" s="2" t="str">
        <f t="shared" si="3"/>
        <v>High</v>
      </c>
      <c r="R59" s="4">
        <v>6213097</v>
      </c>
      <c r="S59" s="2" t="str">
        <f t="shared" si="4"/>
        <v>Highly Viral</v>
      </c>
      <c r="T59" s="4" t="s">
        <v>31</v>
      </c>
      <c r="U59" s="3" t="s">
        <v>25</v>
      </c>
    </row>
    <row r="60" spans="1:21" x14ac:dyDescent="0.3">
      <c r="A60" s="2" t="s">
        <v>120</v>
      </c>
      <c r="B60" s="8">
        <v>45402</v>
      </c>
      <c r="C60" s="2" t="s">
        <v>54</v>
      </c>
      <c r="D60" s="2" t="s">
        <v>40</v>
      </c>
      <c r="E60" s="2" t="s">
        <v>19</v>
      </c>
      <c r="F60" s="2" t="s">
        <v>41</v>
      </c>
      <c r="G60" s="2" t="s">
        <v>74</v>
      </c>
      <c r="H60" s="13">
        <v>19.399999999999999</v>
      </c>
      <c r="I60" s="2" t="str">
        <f t="shared" si="0"/>
        <v>Moderate Risk</v>
      </c>
      <c r="J60" s="2">
        <v>61.1</v>
      </c>
      <c r="K60" s="2" t="str">
        <f t="shared" si="1"/>
        <v>Moderate Confidence</v>
      </c>
      <c r="L60" s="2" t="s">
        <v>22</v>
      </c>
      <c r="M60" s="2" t="str">
        <f t="shared" si="2"/>
        <v>Human Content</v>
      </c>
      <c r="N60" s="2">
        <v>0.17899999999999999</v>
      </c>
      <c r="O60" s="2" t="s">
        <v>30</v>
      </c>
      <c r="P60" s="2">
        <v>4480749</v>
      </c>
      <c r="Q60" s="2" t="str">
        <f t="shared" si="3"/>
        <v>High</v>
      </c>
      <c r="R60" s="2">
        <v>4247919</v>
      </c>
      <c r="S60" s="2" t="str">
        <f t="shared" si="4"/>
        <v>Moderately Viral</v>
      </c>
      <c r="T60" s="2" t="s">
        <v>56</v>
      </c>
      <c r="U60" s="3" t="s">
        <v>25</v>
      </c>
    </row>
    <row r="61" spans="1:21" x14ac:dyDescent="0.3">
      <c r="A61" s="4" t="s">
        <v>121</v>
      </c>
      <c r="B61" s="9">
        <v>45315</v>
      </c>
      <c r="C61" s="4" t="s">
        <v>27</v>
      </c>
      <c r="D61" s="4" t="s">
        <v>60</v>
      </c>
      <c r="E61" s="4" t="s">
        <v>19</v>
      </c>
      <c r="F61" s="4" t="s">
        <v>36</v>
      </c>
      <c r="G61" s="4" t="s">
        <v>21</v>
      </c>
      <c r="H61" s="14">
        <v>63.8</v>
      </c>
      <c r="I61" s="2" t="str">
        <f t="shared" si="0"/>
        <v>High Risk</v>
      </c>
      <c r="J61" s="4">
        <v>86.9</v>
      </c>
      <c r="K61" s="2" t="str">
        <f t="shared" si="1"/>
        <v>High Confidence</v>
      </c>
      <c r="L61" s="4" t="s">
        <v>30</v>
      </c>
      <c r="M61" s="2" t="str">
        <f t="shared" si="2"/>
        <v>AI Generated</v>
      </c>
      <c r="N61" s="4">
        <v>0.10299999999999999</v>
      </c>
      <c r="O61" s="4" t="s">
        <v>30</v>
      </c>
      <c r="P61" s="4">
        <v>4815699</v>
      </c>
      <c r="Q61" s="2" t="str">
        <f t="shared" si="3"/>
        <v>High</v>
      </c>
      <c r="R61" s="4">
        <v>9541344</v>
      </c>
      <c r="S61" s="2" t="str">
        <f t="shared" si="4"/>
        <v>Highly Viral</v>
      </c>
      <c r="T61" s="4" t="s">
        <v>24</v>
      </c>
      <c r="U61" s="5" t="s">
        <v>32</v>
      </c>
    </row>
    <row r="62" spans="1:21" x14ac:dyDescent="0.3">
      <c r="A62" s="2" t="s">
        <v>122</v>
      </c>
      <c r="B62" s="8">
        <v>45537</v>
      </c>
      <c r="C62" s="2" t="s">
        <v>54</v>
      </c>
      <c r="D62" s="2" t="s">
        <v>40</v>
      </c>
      <c r="E62" s="2" t="s">
        <v>35</v>
      </c>
      <c r="F62" s="2" t="s">
        <v>41</v>
      </c>
      <c r="G62" s="2" t="s">
        <v>64</v>
      </c>
      <c r="H62" s="13">
        <v>94.1</v>
      </c>
      <c r="I62" s="2" t="str">
        <f t="shared" si="0"/>
        <v>High Risk</v>
      </c>
      <c r="J62" s="2">
        <v>73.400000000000006</v>
      </c>
      <c r="K62" s="2" t="str">
        <f t="shared" si="1"/>
        <v>High Confidence</v>
      </c>
      <c r="L62" s="2" t="s">
        <v>30</v>
      </c>
      <c r="M62" s="2" t="str">
        <f t="shared" si="2"/>
        <v>AI Generated</v>
      </c>
      <c r="N62" s="2">
        <v>0.82199999999999995</v>
      </c>
      <c r="O62" s="2" t="s">
        <v>22</v>
      </c>
      <c r="P62" s="2">
        <v>4125169</v>
      </c>
      <c r="Q62" s="2" t="str">
        <f t="shared" si="3"/>
        <v>High</v>
      </c>
      <c r="R62" s="2">
        <v>2486285</v>
      </c>
      <c r="S62" s="2" t="str">
        <f t="shared" si="4"/>
        <v>Moderately Viral</v>
      </c>
      <c r="T62" s="2" t="s">
        <v>44</v>
      </c>
      <c r="U62" s="6" t="s">
        <v>48</v>
      </c>
    </row>
    <row r="63" spans="1:21" x14ac:dyDescent="0.3">
      <c r="A63" s="4" t="s">
        <v>123</v>
      </c>
      <c r="B63" s="9">
        <v>45614</v>
      </c>
      <c r="C63" s="4" t="s">
        <v>27</v>
      </c>
      <c r="D63" s="4" t="s">
        <v>50</v>
      </c>
      <c r="E63" s="4" t="s">
        <v>35</v>
      </c>
      <c r="F63" s="4" t="s">
        <v>58</v>
      </c>
      <c r="G63" s="4" t="s">
        <v>64</v>
      </c>
      <c r="H63" s="14">
        <v>8.5</v>
      </c>
      <c r="I63" s="2" t="str">
        <f t="shared" si="0"/>
        <v>Moderate Risk</v>
      </c>
      <c r="J63" s="4">
        <v>62.2</v>
      </c>
      <c r="K63" s="2" t="str">
        <f t="shared" si="1"/>
        <v>Moderate Confidence</v>
      </c>
      <c r="L63" s="4" t="s">
        <v>22</v>
      </c>
      <c r="M63" s="2" t="str">
        <f t="shared" si="2"/>
        <v>Human Content</v>
      </c>
      <c r="N63" s="4">
        <v>0.55800000000000005</v>
      </c>
      <c r="O63" s="4" t="s">
        <v>22</v>
      </c>
      <c r="P63" s="4">
        <v>1893300</v>
      </c>
      <c r="Q63" s="2" t="str">
        <f t="shared" si="3"/>
        <v>Medium</v>
      </c>
      <c r="R63" s="4">
        <v>17535124</v>
      </c>
      <c r="S63" s="2" t="str">
        <f t="shared" si="4"/>
        <v>Highly Viral</v>
      </c>
      <c r="T63" s="4" t="s">
        <v>24</v>
      </c>
      <c r="U63" s="3" t="s">
        <v>25</v>
      </c>
    </row>
    <row r="64" spans="1:21" x14ac:dyDescent="0.3">
      <c r="A64" s="2" t="s">
        <v>124</v>
      </c>
      <c r="B64" s="8">
        <v>45522</v>
      </c>
      <c r="C64" s="2" t="s">
        <v>54</v>
      </c>
      <c r="D64" s="2" t="s">
        <v>40</v>
      </c>
      <c r="E64" s="2" t="s">
        <v>88</v>
      </c>
      <c r="F64" s="2" t="s">
        <v>52</v>
      </c>
      <c r="G64" s="2" t="s">
        <v>29</v>
      </c>
      <c r="H64" s="13">
        <v>62.1</v>
      </c>
      <c r="I64" s="2" t="str">
        <f t="shared" si="0"/>
        <v>High Risk</v>
      </c>
      <c r="J64" s="2">
        <v>79.900000000000006</v>
      </c>
      <c r="K64" s="2" t="str">
        <f t="shared" si="1"/>
        <v>High Confidence</v>
      </c>
      <c r="L64" s="2" t="s">
        <v>30</v>
      </c>
      <c r="M64" s="2" t="str">
        <f t="shared" si="2"/>
        <v>AI Generated</v>
      </c>
      <c r="N64" s="2">
        <v>0.74</v>
      </c>
      <c r="O64" s="2" t="s">
        <v>30</v>
      </c>
      <c r="P64" s="2">
        <v>1770307</v>
      </c>
      <c r="Q64" s="2" t="str">
        <f t="shared" si="3"/>
        <v>Medium</v>
      </c>
      <c r="R64" s="2">
        <v>8880550</v>
      </c>
      <c r="S64" s="2" t="str">
        <f t="shared" si="4"/>
        <v>Highly Viral</v>
      </c>
      <c r="T64" s="2" t="s">
        <v>61</v>
      </c>
      <c r="U64" s="5" t="s">
        <v>32</v>
      </c>
    </row>
    <row r="65" spans="1:21" x14ac:dyDescent="0.3">
      <c r="A65" s="4" t="s">
        <v>125</v>
      </c>
      <c r="B65" s="9">
        <v>45372</v>
      </c>
      <c r="C65" s="4" t="s">
        <v>46</v>
      </c>
      <c r="D65" s="4" t="s">
        <v>50</v>
      </c>
      <c r="E65" s="4" t="s">
        <v>73</v>
      </c>
      <c r="F65" s="4" t="s">
        <v>20</v>
      </c>
      <c r="G65" s="4" t="s">
        <v>67</v>
      </c>
      <c r="H65" s="14">
        <v>40.9</v>
      </c>
      <c r="I65" s="2" t="str">
        <f t="shared" si="0"/>
        <v>Moderate Risk</v>
      </c>
      <c r="J65" s="4">
        <v>83.8</v>
      </c>
      <c r="K65" s="2" t="str">
        <f t="shared" si="1"/>
        <v>High Confidence</v>
      </c>
      <c r="L65" s="4" t="s">
        <v>43</v>
      </c>
      <c r="M65" s="2" t="str">
        <f t="shared" si="2"/>
        <v>Human Content</v>
      </c>
      <c r="N65" s="4">
        <v>0.47</v>
      </c>
      <c r="O65" s="4" t="s">
        <v>30</v>
      </c>
      <c r="P65" s="4">
        <v>1941863</v>
      </c>
      <c r="Q65" s="2" t="str">
        <f t="shared" si="3"/>
        <v>Medium</v>
      </c>
      <c r="R65" s="4">
        <v>9667695</v>
      </c>
      <c r="S65" s="2" t="str">
        <f t="shared" si="4"/>
        <v>Highly Viral</v>
      </c>
      <c r="T65" s="4" t="s">
        <v>56</v>
      </c>
      <c r="U65" s="5" t="s">
        <v>32</v>
      </c>
    </row>
    <row r="66" spans="1:21" x14ac:dyDescent="0.3">
      <c r="A66" s="2" t="s">
        <v>126</v>
      </c>
      <c r="B66" s="8">
        <v>45651</v>
      </c>
      <c r="C66" s="2" t="s">
        <v>54</v>
      </c>
      <c r="D66" s="2" t="s">
        <v>18</v>
      </c>
      <c r="E66" s="2" t="s">
        <v>28</v>
      </c>
      <c r="F66" s="2" t="s">
        <v>52</v>
      </c>
      <c r="G66" s="2" t="s">
        <v>74</v>
      </c>
      <c r="H66" s="13">
        <v>79.099999999999994</v>
      </c>
      <c r="I66" s="2" t="str">
        <f t="shared" si="0"/>
        <v>High Risk</v>
      </c>
      <c r="J66" s="2">
        <v>78.900000000000006</v>
      </c>
      <c r="K66" s="2" t="str">
        <f t="shared" si="1"/>
        <v>High Confidence</v>
      </c>
      <c r="L66" s="2" t="s">
        <v>30</v>
      </c>
      <c r="M66" s="2" t="str">
        <f t="shared" si="2"/>
        <v>AI Generated</v>
      </c>
      <c r="N66" s="2">
        <v>0.80400000000000005</v>
      </c>
      <c r="O66" s="2" t="s">
        <v>30</v>
      </c>
      <c r="P66" s="2">
        <v>3566424</v>
      </c>
      <c r="Q66" s="2" t="str">
        <f t="shared" si="3"/>
        <v>Medium</v>
      </c>
      <c r="R66" s="2">
        <v>3851753</v>
      </c>
      <c r="S66" s="2" t="str">
        <f t="shared" si="4"/>
        <v>Moderately Viral</v>
      </c>
      <c r="T66" s="2" t="s">
        <v>44</v>
      </c>
      <c r="U66" s="6" t="s">
        <v>48</v>
      </c>
    </row>
    <row r="67" spans="1:21" x14ac:dyDescent="0.3">
      <c r="A67" s="4" t="s">
        <v>127</v>
      </c>
      <c r="B67" s="9">
        <v>45407</v>
      </c>
      <c r="C67" s="4" t="s">
        <v>69</v>
      </c>
      <c r="D67" s="4" t="s">
        <v>40</v>
      </c>
      <c r="E67" s="4" t="s">
        <v>35</v>
      </c>
      <c r="F67" s="4" t="s">
        <v>41</v>
      </c>
      <c r="G67" s="4" t="s">
        <v>67</v>
      </c>
      <c r="H67" s="14">
        <v>16.600000000000001</v>
      </c>
      <c r="I67" s="2" t="str">
        <f t="shared" ref="I67:I130" si="5">IF(H67&gt;60,"High Risk",IF(H67&lt;60,"Moderate Risk"))</f>
        <v>Moderate Risk</v>
      </c>
      <c r="J67" s="4">
        <v>65.099999999999994</v>
      </c>
      <c r="K67" s="2" t="str">
        <f t="shared" ref="K67:K71" si="6">IF(J67&gt;70,"High Confidence",IF(J67&gt;30,"Moderate Confidence",IF(J67&lt;30,"Low Confidence")))</f>
        <v>Moderate Confidence</v>
      </c>
      <c r="L67" s="4" t="s">
        <v>22</v>
      </c>
      <c r="M67" s="2" t="str">
        <f t="shared" ref="M67:M130" si="7">IF(L67="Yes","AI Generated","Human Content")</f>
        <v>Human Content</v>
      </c>
      <c r="N67" s="4">
        <v>0.749</v>
      </c>
      <c r="O67" s="4" t="s">
        <v>23</v>
      </c>
      <c r="P67" s="4">
        <v>2421141</v>
      </c>
      <c r="Q67" s="2" t="str">
        <f t="shared" ref="Q67:Q78" si="8">IF(P67&gt;4000000,"High",IF(P67&gt;1000000,"Medium",IF(P67&lt;1000000,"Low")))</f>
        <v>Medium</v>
      </c>
      <c r="R67" s="4">
        <v>14736044</v>
      </c>
      <c r="S67" s="2" t="str">
        <f t="shared" ref="S67" si="9">IF(R67&gt;5000000,"Highly Viral",IF(R67&gt;1000000,"Moderately Viral",IF(R67&lt;500000,"Low Viral")))</f>
        <v>Highly Viral</v>
      </c>
      <c r="T67" s="4" t="s">
        <v>61</v>
      </c>
      <c r="U67" s="3" t="s">
        <v>25</v>
      </c>
    </row>
    <row r="68" spans="1:21" x14ac:dyDescent="0.3">
      <c r="A68" s="2" t="s">
        <v>128</v>
      </c>
      <c r="B68" s="8">
        <v>45531</v>
      </c>
      <c r="C68" s="2" t="s">
        <v>34</v>
      </c>
      <c r="D68" s="2" t="s">
        <v>55</v>
      </c>
      <c r="E68" s="2" t="s">
        <v>19</v>
      </c>
      <c r="F68" s="2" t="s">
        <v>58</v>
      </c>
      <c r="G68" s="2" t="s">
        <v>29</v>
      </c>
      <c r="H68" s="13">
        <v>49.4</v>
      </c>
      <c r="I68" s="2" t="str">
        <f t="shared" si="5"/>
        <v>Moderate Risk</v>
      </c>
      <c r="J68" s="2">
        <v>53.9</v>
      </c>
      <c r="K68" s="2" t="str">
        <f t="shared" si="6"/>
        <v>Moderate Confidence</v>
      </c>
      <c r="L68" s="2" t="s">
        <v>43</v>
      </c>
      <c r="M68" s="2" t="str">
        <f t="shared" si="7"/>
        <v>Human Content</v>
      </c>
      <c r="N68" s="2">
        <v>0.04</v>
      </c>
      <c r="O68" s="2" t="s">
        <v>22</v>
      </c>
      <c r="P68" s="2">
        <v>2703929</v>
      </c>
      <c r="Q68" s="2" t="str">
        <f t="shared" si="8"/>
        <v>Medium</v>
      </c>
      <c r="R68" s="2">
        <v>8401452</v>
      </c>
      <c r="S68" s="2" t="str">
        <f>IF(R68&gt;5000000,"Highly Viral",IF(R68&gt;1000000,"Moderately Viral",IF(R68&lt;500000,"Low Viral")))</f>
        <v>Highly Viral</v>
      </c>
      <c r="T68" s="2" t="s">
        <v>61</v>
      </c>
      <c r="U68" s="5" t="s">
        <v>32</v>
      </c>
    </row>
    <row r="69" spans="1:21" x14ac:dyDescent="0.3">
      <c r="A69" s="4" t="s">
        <v>129</v>
      </c>
      <c r="B69" s="9">
        <v>45338</v>
      </c>
      <c r="C69" s="4" t="s">
        <v>46</v>
      </c>
      <c r="D69" s="4" t="s">
        <v>60</v>
      </c>
      <c r="E69" s="4" t="s">
        <v>47</v>
      </c>
      <c r="F69" s="4" t="s">
        <v>36</v>
      </c>
      <c r="G69" s="4" t="s">
        <v>74</v>
      </c>
      <c r="H69" s="14">
        <v>27</v>
      </c>
      <c r="I69" s="2" t="str">
        <f t="shared" si="5"/>
        <v>Moderate Risk</v>
      </c>
      <c r="J69" s="4">
        <v>52</v>
      </c>
      <c r="K69" s="2" t="str">
        <f t="shared" si="6"/>
        <v>Moderate Confidence</v>
      </c>
      <c r="L69" s="4" t="s">
        <v>22</v>
      </c>
      <c r="M69" s="2" t="str">
        <f t="shared" si="7"/>
        <v>Human Content</v>
      </c>
      <c r="N69" s="4">
        <v>0.75600000000000001</v>
      </c>
      <c r="O69" s="4" t="s">
        <v>22</v>
      </c>
      <c r="P69" s="4">
        <v>4353484</v>
      </c>
      <c r="Q69" s="2" t="str">
        <f t="shared" si="8"/>
        <v>High</v>
      </c>
      <c r="R69" s="4">
        <v>14839256</v>
      </c>
      <c r="S69" s="2" t="str">
        <f t="shared" ref="S69:S132" si="10">IF(R69&gt;5000000,"Highly Viral",IF(R69&gt;1000000,"Moderately Viral",IF(R69&lt;500000,"Low Viral")))</f>
        <v>Highly Viral</v>
      </c>
      <c r="T69" s="4" t="s">
        <v>56</v>
      </c>
      <c r="U69" s="3" t="s">
        <v>25</v>
      </c>
    </row>
    <row r="70" spans="1:21" x14ac:dyDescent="0.3">
      <c r="A70" s="2" t="s">
        <v>130</v>
      </c>
      <c r="B70" s="8">
        <v>45384</v>
      </c>
      <c r="C70" s="2" t="s">
        <v>78</v>
      </c>
      <c r="D70" s="2" t="s">
        <v>55</v>
      </c>
      <c r="E70" s="2" t="s">
        <v>73</v>
      </c>
      <c r="F70" s="2" t="s">
        <v>76</v>
      </c>
      <c r="G70" s="2" t="s">
        <v>64</v>
      </c>
      <c r="H70" s="13">
        <v>40.799999999999997</v>
      </c>
      <c r="I70" s="2" t="str">
        <f t="shared" si="5"/>
        <v>Moderate Risk</v>
      </c>
      <c r="J70" s="2">
        <v>65.7</v>
      </c>
      <c r="K70" s="2" t="str">
        <f t="shared" si="6"/>
        <v>Moderate Confidence</v>
      </c>
      <c r="L70" s="2" t="s">
        <v>43</v>
      </c>
      <c r="M70" s="2" t="str">
        <f t="shared" si="7"/>
        <v>Human Content</v>
      </c>
      <c r="N70" s="2">
        <v>0.105</v>
      </c>
      <c r="O70" s="2" t="s">
        <v>30</v>
      </c>
      <c r="P70" s="2">
        <v>2766693</v>
      </c>
      <c r="Q70" s="2" t="str">
        <f t="shared" si="8"/>
        <v>Medium</v>
      </c>
      <c r="R70" s="2">
        <v>13813017</v>
      </c>
      <c r="S70" s="2" t="str">
        <f t="shared" si="10"/>
        <v>Highly Viral</v>
      </c>
      <c r="T70" s="2" t="s">
        <v>24</v>
      </c>
      <c r="U70" s="5" t="s">
        <v>32</v>
      </c>
    </row>
    <row r="71" spans="1:21" x14ac:dyDescent="0.3">
      <c r="A71" s="4" t="s">
        <v>131</v>
      </c>
      <c r="B71" s="9">
        <v>45439</v>
      </c>
      <c r="C71" s="4" t="s">
        <v>78</v>
      </c>
      <c r="D71" s="4" t="s">
        <v>60</v>
      </c>
      <c r="E71" s="4" t="s">
        <v>47</v>
      </c>
      <c r="F71" s="4" t="s">
        <v>76</v>
      </c>
      <c r="G71" s="4" t="s">
        <v>67</v>
      </c>
      <c r="H71" s="14">
        <v>31.5</v>
      </c>
      <c r="I71" s="2" t="str">
        <f t="shared" si="5"/>
        <v>Moderate Risk</v>
      </c>
      <c r="J71" s="4">
        <v>65.8</v>
      </c>
      <c r="K71" s="2" t="str">
        <f t="shared" si="6"/>
        <v>Moderate Confidence</v>
      </c>
      <c r="L71" s="4" t="s">
        <v>22</v>
      </c>
      <c r="M71" s="2" t="str">
        <f t="shared" si="7"/>
        <v>Human Content</v>
      </c>
      <c r="N71" s="4">
        <v>0.97</v>
      </c>
      <c r="O71" s="4" t="s">
        <v>22</v>
      </c>
      <c r="P71" s="4">
        <v>4316846</v>
      </c>
      <c r="Q71" s="2" t="str">
        <f t="shared" si="8"/>
        <v>High</v>
      </c>
      <c r="R71" s="4">
        <v>39123</v>
      </c>
      <c r="S71" s="2" t="str">
        <f t="shared" si="10"/>
        <v>Low Viral</v>
      </c>
      <c r="T71" s="4" t="s">
        <v>44</v>
      </c>
      <c r="U71" s="3" t="s">
        <v>25</v>
      </c>
    </row>
    <row r="72" spans="1:21" x14ac:dyDescent="0.3">
      <c r="A72" s="2" t="s">
        <v>132</v>
      </c>
      <c r="B72" s="8">
        <v>45528</v>
      </c>
      <c r="C72" s="2" t="s">
        <v>78</v>
      </c>
      <c r="D72" s="2" t="s">
        <v>18</v>
      </c>
      <c r="E72" s="2" t="s">
        <v>28</v>
      </c>
      <c r="F72" s="2" t="s">
        <v>58</v>
      </c>
      <c r="G72" s="2" t="s">
        <v>64</v>
      </c>
      <c r="H72" s="13">
        <v>62.3</v>
      </c>
      <c r="I72" s="2" t="str">
        <f t="shared" si="5"/>
        <v>High Risk</v>
      </c>
      <c r="J72" s="2">
        <v>74.400000000000006</v>
      </c>
      <c r="K72" s="2" t="str">
        <f>IF(J72&gt;70,"High Confidence",IF(J72&gt;30,"Moderate Confidence",IF(J72&lt;30,"Low Confidence")))</f>
        <v>High Confidence</v>
      </c>
      <c r="L72" s="2" t="s">
        <v>30</v>
      </c>
      <c r="M72" s="2" t="str">
        <f t="shared" si="7"/>
        <v>AI Generated</v>
      </c>
      <c r="N72" s="2">
        <v>0.442</v>
      </c>
      <c r="O72" s="2" t="s">
        <v>30</v>
      </c>
      <c r="P72" s="2">
        <v>1707670</v>
      </c>
      <c r="Q72" s="2" t="str">
        <f t="shared" si="8"/>
        <v>Medium</v>
      </c>
      <c r="R72" s="2">
        <v>8961420</v>
      </c>
      <c r="S72" s="2" t="str">
        <f t="shared" si="10"/>
        <v>Highly Viral</v>
      </c>
      <c r="T72" s="2" t="s">
        <v>44</v>
      </c>
      <c r="U72" s="5" t="s">
        <v>32</v>
      </c>
    </row>
    <row r="73" spans="1:21" x14ac:dyDescent="0.3">
      <c r="A73" s="4" t="s">
        <v>133</v>
      </c>
      <c r="B73" s="9">
        <v>45359</v>
      </c>
      <c r="C73" s="4" t="s">
        <v>34</v>
      </c>
      <c r="D73" s="4" t="s">
        <v>55</v>
      </c>
      <c r="E73" s="4" t="s">
        <v>71</v>
      </c>
      <c r="F73" s="4" t="s">
        <v>41</v>
      </c>
      <c r="G73" s="4" t="s">
        <v>67</v>
      </c>
      <c r="H73" s="14">
        <v>97.3</v>
      </c>
      <c r="I73" s="2" t="str">
        <f t="shared" si="5"/>
        <v>High Risk</v>
      </c>
      <c r="J73" s="4">
        <v>79.8</v>
      </c>
      <c r="K73" s="2" t="str">
        <f t="shared" ref="K73:K87" si="11">IF(J73&gt;70,"High Confidence",IF(J73&gt;30,"Moderate Confidence",IF(J73&lt;30,"Low Confidence")))</f>
        <v>High Confidence</v>
      </c>
      <c r="L73" s="4" t="s">
        <v>30</v>
      </c>
      <c r="M73" s="2" t="str">
        <f t="shared" si="7"/>
        <v>AI Generated</v>
      </c>
      <c r="N73" s="4">
        <v>0.23899999999999999</v>
      </c>
      <c r="O73" s="4" t="s">
        <v>30</v>
      </c>
      <c r="P73" s="4">
        <v>2606861</v>
      </c>
      <c r="Q73" s="2" t="str">
        <f t="shared" si="8"/>
        <v>Medium</v>
      </c>
      <c r="R73" s="4">
        <v>18483590</v>
      </c>
      <c r="S73" s="2" t="str">
        <f t="shared" si="10"/>
        <v>Highly Viral</v>
      </c>
      <c r="T73" s="4" t="s">
        <v>61</v>
      </c>
      <c r="U73" s="6" t="s">
        <v>48</v>
      </c>
    </row>
    <row r="74" spans="1:21" x14ac:dyDescent="0.3">
      <c r="A74" s="2" t="s">
        <v>134</v>
      </c>
      <c r="B74" s="8">
        <v>45574</v>
      </c>
      <c r="C74" s="2" t="s">
        <v>78</v>
      </c>
      <c r="D74" s="2" t="s">
        <v>18</v>
      </c>
      <c r="E74" s="2" t="s">
        <v>28</v>
      </c>
      <c r="F74" s="2" t="s">
        <v>41</v>
      </c>
      <c r="G74" s="2" t="s">
        <v>37</v>
      </c>
      <c r="H74" s="13">
        <v>94.7</v>
      </c>
      <c r="I74" s="2" t="str">
        <f t="shared" si="5"/>
        <v>High Risk</v>
      </c>
      <c r="J74" s="2">
        <v>81.7</v>
      </c>
      <c r="K74" s="2" t="str">
        <f t="shared" si="11"/>
        <v>High Confidence</v>
      </c>
      <c r="L74" s="2" t="s">
        <v>30</v>
      </c>
      <c r="M74" s="2" t="str">
        <f t="shared" si="7"/>
        <v>AI Generated</v>
      </c>
      <c r="N74" s="2">
        <v>0.154</v>
      </c>
      <c r="O74" s="2" t="s">
        <v>23</v>
      </c>
      <c r="P74" s="2">
        <v>2448412</v>
      </c>
      <c r="Q74" s="2" t="str">
        <f t="shared" si="8"/>
        <v>Medium</v>
      </c>
      <c r="R74" s="2">
        <v>17075411</v>
      </c>
      <c r="S74" s="2" t="str">
        <f t="shared" si="10"/>
        <v>Highly Viral</v>
      </c>
      <c r="T74" s="2" t="s">
        <v>56</v>
      </c>
      <c r="U74" s="6" t="s">
        <v>48</v>
      </c>
    </row>
    <row r="75" spans="1:21" x14ac:dyDescent="0.3">
      <c r="A75" s="4" t="s">
        <v>135</v>
      </c>
      <c r="B75" s="9">
        <v>45504</v>
      </c>
      <c r="C75" s="4" t="s">
        <v>54</v>
      </c>
      <c r="D75" s="4" t="s">
        <v>55</v>
      </c>
      <c r="E75" s="4" t="s">
        <v>28</v>
      </c>
      <c r="F75" s="4" t="s">
        <v>76</v>
      </c>
      <c r="G75" s="4" t="s">
        <v>29</v>
      </c>
      <c r="H75" s="14">
        <v>14.5</v>
      </c>
      <c r="I75" s="2" t="str">
        <f t="shared" si="5"/>
        <v>Moderate Risk</v>
      </c>
      <c r="J75" s="4">
        <v>59.3</v>
      </c>
      <c r="K75" s="2" t="str">
        <f t="shared" si="11"/>
        <v>Moderate Confidence</v>
      </c>
      <c r="L75" s="4" t="s">
        <v>22</v>
      </c>
      <c r="M75" s="2" t="str">
        <f t="shared" si="7"/>
        <v>Human Content</v>
      </c>
      <c r="N75" s="4">
        <v>0.59899999999999998</v>
      </c>
      <c r="O75" s="4" t="s">
        <v>23</v>
      </c>
      <c r="P75" s="4">
        <v>1145214</v>
      </c>
      <c r="Q75" s="2" t="str">
        <f t="shared" si="8"/>
        <v>Medium</v>
      </c>
      <c r="R75" s="4">
        <v>2342937</v>
      </c>
      <c r="S75" s="2" t="str">
        <f t="shared" si="10"/>
        <v>Moderately Viral</v>
      </c>
      <c r="T75" s="4" t="s">
        <v>56</v>
      </c>
      <c r="U75" s="3" t="s">
        <v>25</v>
      </c>
    </row>
    <row r="76" spans="1:21" x14ac:dyDescent="0.3">
      <c r="A76" s="2" t="s">
        <v>136</v>
      </c>
      <c r="B76" s="8">
        <v>45504</v>
      </c>
      <c r="C76" s="2" t="s">
        <v>39</v>
      </c>
      <c r="D76" s="2" t="s">
        <v>60</v>
      </c>
      <c r="E76" s="2" t="s">
        <v>19</v>
      </c>
      <c r="F76" s="2" t="s">
        <v>41</v>
      </c>
      <c r="G76" s="2" t="s">
        <v>64</v>
      </c>
      <c r="H76" s="13">
        <v>72.599999999999994</v>
      </c>
      <c r="I76" s="2" t="str">
        <f t="shared" si="5"/>
        <v>High Risk</v>
      </c>
      <c r="J76" s="2">
        <v>91</v>
      </c>
      <c r="K76" s="2" t="str">
        <f t="shared" si="11"/>
        <v>High Confidence</v>
      </c>
      <c r="L76" s="2" t="s">
        <v>30</v>
      </c>
      <c r="M76" s="2" t="str">
        <f t="shared" si="7"/>
        <v>AI Generated</v>
      </c>
      <c r="N76" s="2">
        <v>0.57999999999999996</v>
      </c>
      <c r="O76" s="2" t="s">
        <v>23</v>
      </c>
      <c r="P76" s="2">
        <v>4107500</v>
      </c>
      <c r="Q76" s="2" t="str">
        <f t="shared" si="8"/>
        <v>High</v>
      </c>
      <c r="R76" s="2">
        <v>4986534</v>
      </c>
      <c r="S76" s="2" t="str">
        <f t="shared" si="10"/>
        <v>Moderately Viral</v>
      </c>
      <c r="T76" s="2" t="s">
        <v>24</v>
      </c>
      <c r="U76" s="6" t="s">
        <v>48</v>
      </c>
    </row>
    <row r="77" spans="1:21" x14ac:dyDescent="0.3">
      <c r="A77" s="4" t="s">
        <v>137</v>
      </c>
      <c r="B77" s="9">
        <v>45567</v>
      </c>
      <c r="C77" s="4" t="s">
        <v>54</v>
      </c>
      <c r="D77" s="4" t="s">
        <v>40</v>
      </c>
      <c r="E77" s="4" t="s">
        <v>51</v>
      </c>
      <c r="F77" s="4" t="s">
        <v>58</v>
      </c>
      <c r="G77" s="4" t="s">
        <v>74</v>
      </c>
      <c r="H77" s="14">
        <v>54.3</v>
      </c>
      <c r="I77" s="2" t="str">
        <f t="shared" si="5"/>
        <v>Moderate Risk</v>
      </c>
      <c r="J77" s="4">
        <v>72.3</v>
      </c>
      <c r="K77" s="2" t="str">
        <f t="shared" si="11"/>
        <v>High Confidence</v>
      </c>
      <c r="L77" s="4" t="s">
        <v>43</v>
      </c>
      <c r="M77" s="2" t="str">
        <f t="shared" si="7"/>
        <v>Human Content</v>
      </c>
      <c r="N77" s="4">
        <v>0.32200000000000001</v>
      </c>
      <c r="O77" s="4" t="s">
        <v>30</v>
      </c>
      <c r="P77" s="4">
        <v>2003346</v>
      </c>
      <c r="Q77" s="2" t="str">
        <f>IF(P77&gt;4000000,"High",IF(P77&gt;1000000,"Medium",IF(P77&lt;1000000,"Low")))</f>
        <v>Medium</v>
      </c>
      <c r="R77" s="4">
        <v>19186845</v>
      </c>
      <c r="S77" s="2" t="str">
        <f t="shared" si="10"/>
        <v>Highly Viral</v>
      </c>
      <c r="T77" s="4" t="s">
        <v>24</v>
      </c>
      <c r="U77" s="5" t="s">
        <v>32</v>
      </c>
    </row>
    <row r="78" spans="1:21" x14ac:dyDescent="0.3">
      <c r="A78" s="2" t="s">
        <v>138</v>
      </c>
      <c r="B78" s="8">
        <v>45411</v>
      </c>
      <c r="C78" s="2" t="s">
        <v>78</v>
      </c>
      <c r="D78" s="2" t="s">
        <v>18</v>
      </c>
      <c r="E78" s="2" t="s">
        <v>51</v>
      </c>
      <c r="F78" s="2" t="s">
        <v>36</v>
      </c>
      <c r="G78" s="2" t="s">
        <v>37</v>
      </c>
      <c r="H78" s="13">
        <v>70.5</v>
      </c>
      <c r="I78" s="2" t="str">
        <f t="shared" si="5"/>
        <v>High Risk</v>
      </c>
      <c r="J78" s="2">
        <v>89.8</v>
      </c>
      <c r="K78" s="2" t="str">
        <f t="shared" si="11"/>
        <v>High Confidence</v>
      </c>
      <c r="L78" s="2" t="s">
        <v>30</v>
      </c>
      <c r="M78" s="2" t="str">
        <f t="shared" si="7"/>
        <v>AI Generated</v>
      </c>
      <c r="N78" s="2">
        <v>0.38600000000000001</v>
      </c>
      <c r="O78" s="2" t="s">
        <v>23</v>
      </c>
      <c r="P78" s="2">
        <v>1276051</v>
      </c>
      <c r="Q78" s="2" t="str">
        <f t="shared" si="8"/>
        <v>Medium</v>
      </c>
      <c r="R78" s="2">
        <v>16620971</v>
      </c>
      <c r="S78" s="2" t="str">
        <f t="shared" si="10"/>
        <v>Highly Viral</v>
      </c>
      <c r="T78" s="2" t="s">
        <v>61</v>
      </c>
      <c r="U78" s="6" t="s">
        <v>48</v>
      </c>
    </row>
    <row r="79" spans="1:21" x14ac:dyDescent="0.3">
      <c r="A79" s="4" t="s">
        <v>139</v>
      </c>
      <c r="B79" s="9">
        <v>45356</v>
      </c>
      <c r="C79" s="4" t="s">
        <v>39</v>
      </c>
      <c r="D79" s="4" t="s">
        <v>18</v>
      </c>
      <c r="E79" s="4" t="s">
        <v>71</v>
      </c>
      <c r="F79" s="4" t="s">
        <v>41</v>
      </c>
      <c r="G79" s="4" t="s">
        <v>29</v>
      </c>
      <c r="H79" s="14">
        <v>91</v>
      </c>
      <c r="I79" s="2" t="str">
        <f t="shared" si="5"/>
        <v>High Risk</v>
      </c>
      <c r="J79" s="4">
        <v>50.8</v>
      </c>
      <c r="K79" s="2" t="str">
        <f t="shared" si="11"/>
        <v>Moderate Confidence</v>
      </c>
      <c r="L79" s="4" t="s">
        <v>30</v>
      </c>
      <c r="M79" s="2" t="str">
        <f t="shared" si="7"/>
        <v>AI Generated</v>
      </c>
      <c r="N79" s="4">
        <v>0.14399999999999999</v>
      </c>
      <c r="O79" s="4" t="s">
        <v>23</v>
      </c>
      <c r="P79" s="4">
        <v>1294975</v>
      </c>
      <c r="Q79" s="2" t="str">
        <f>IF(P79&gt;4000000,"High",IF(P79&gt;1000000,"Medium",IF(P79&lt;1000000,"Low")))</f>
        <v>Medium</v>
      </c>
      <c r="R79" s="4">
        <v>2511319</v>
      </c>
      <c r="S79" s="2" t="str">
        <f t="shared" si="10"/>
        <v>Moderately Viral</v>
      </c>
      <c r="T79" s="4" t="s">
        <v>24</v>
      </c>
      <c r="U79" s="6" t="s">
        <v>48</v>
      </c>
    </row>
    <row r="80" spans="1:21" x14ac:dyDescent="0.3">
      <c r="A80" s="2" t="s">
        <v>140</v>
      </c>
      <c r="B80" s="8">
        <v>45427</v>
      </c>
      <c r="C80" s="2" t="s">
        <v>39</v>
      </c>
      <c r="D80" s="2" t="s">
        <v>60</v>
      </c>
      <c r="E80" s="2" t="s">
        <v>88</v>
      </c>
      <c r="F80" s="2" t="s">
        <v>36</v>
      </c>
      <c r="G80" s="2" t="s">
        <v>67</v>
      </c>
      <c r="H80" s="13">
        <v>85.2</v>
      </c>
      <c r="I80" s="2" t="str">
        <f t="shared" si="5"/>
        <v>High Risk</v>
      </c>
      <c r="J80" s="2">
        <v>91.8</v>
      </c>
      <c r="K80" s="2" t="str">
        <f t="shared" si="11"/>
        <v>High Confidence</v>
      </c>
      <c r="L80" s="2" t="s">
        <v>30</v>
      </c>
      <c r="M80" s="2" t="str">
        <f t="shared" si="7"/>
        <v>AI Generated</v>
      </c>
      <c r="N80" s="2">
        <v>0.85899999999999999</v>
      </c>
      <c r="O80" s="2" t="s">
        <v>22</v>
      </c>
      <c r="P80" s="2">
        <v>2656446</v>
      </c>
      <c r="Q80" s="2" t="str">
        <f t="shared" ref="Q80:Q101" si="12">IF(P80&gt;4000000,"High",IF(P80&gt;1000000,"Medium",IF(P80&lt;1000000,"Low")))</f>
        <v>Medium</v>
      </c>
      <c r="R80" s="2">
        <v>16373300</v>
      </c>
      <c r="S80" s="2" t="str">
        <f t="shared" si="10"/>
        <v>Highly Viral</v>
      </c>
      <c r="T80" s="2" t="s">
        <v>44</v>
      </c>
      <c r="U80" s="6" t="s">
        <v>48</v>
      </c>
    </row>
    <row r="81" spans="1:21" x14ac:dyDescent="0.3">
      <c r="A81" s="4" t="s">
        <v>141</v>
      </c>
      <c r="B81" s="9">
        <v>45310</v>
      </c>
      <c r="C81" s="4" t="s">
        <v>17</v>
      </c>
      <c r="D81" s="4" t="s">
        <v>50</v>
      </c>
      <c r="E81" s="4" t="s">
        <v>19</v>
      </c>
      <c r="F81" s="4" t="s">
        <v>20</v>
      </c>
      <c r="G81" s="4" t="s">
        <v>42</v>
      </c>
      <c r="H81" s="14">
        <v>9</v>
      </c>
      <c r="I81" s="2" t="str">
        <f t="shared" si="5"/>
        <v>Moderate Risk</v>
      </c>
      <c r="J81" s="4">
        <v>97.9</v>
      </c>
      <c r="K81" s="2" t="str">
        <f t="shared" si="11"/>
        <v>High Confidence</v>
      </c>
      <c r="L81" s="4" t="s">
        <v>22</v>
      </c>
      <c r="M81" s="2" t="str">
        <f t="shared" si="7"/>
        <v>Human Content</v>
      </c>
      <c r="N81" s="4">
        <v>0.76</v>
      </c>
      <c r="O81" s="4" t="s">
        <v>23</v>
      </c>
      <c r="P81" s="4">
        <v>843215</v>
      </c>
      <c r="Q81" s="2" t="str">
        <f t="shared" si="12"/>
        <v>Low</v>
      </c>
      <c r="R81" s="4">
        <v>14887881</v>
      </c>
      <c r="S81" s="2" t="str">
        <f t="shared" si="10"/>
        <v>Highly Viral</v>
      </c>
      <c r="T81" s="4" t="s">
        <v>31</v>
      </c>
      <c r="U81" s="3" t="s">
        <v>25</v>
      </c>
    </row>
    <row r="82" spans="1:21" x14ac:dyDescent="0.3">
      <c r="A82" s="2" t="s">
        <v>142</v>
      </c>
      <c r="B82" s="8">
        <v>45647</v>
      </c>
      <c r="C82" s="2" t="s">
        <v>34</v>
      </c>
      <c r="D82" s="2" t="s">
        <v>18</v>
      </c>
      <c r="E82" s="2" t="s">
        <v>47</v>
      </c>
      <c r="F82" s="2" t="s">
        <v>52</v>
      </c>
      <c r="G82" s="2" t="s">
        <v>74</v>
      </c>
      <c r="H82" s="13">
        <v>5.6</v>
      </c>
      <c r="I82" s="2" t="str">
        <f t="shared" si="5"/>
        <v>Moderate Risk</v>
      </c>
      <c r="J82" s="2">
        <v>67.599999999999994</v>
      </c>
      <c r="K82" s="2" t="str">
        <f t="shared" si="11"/>
        <v>Moderate Confidence</v>
      </c>
      <c r="L82" s="2" t="s">
        <v>22</v>
      </c>
      <c r="M82" s="2" t="str">
        <f t="shared" si="7"/>
        <v>Human Content</v>
      </c>
      <c r="N82" s="2">
        <v>0.43099999999999999</v>
      </c>
      <c r="O82" s="2" t="s">
        <v>30</v>
      </c>
      <c r="P82" s="2">
        <v>4455846</v>
      </c>
      <c r="Q82" s="2" t="str">
        <f t="shared" si="12"/>
        <v>High</v>
      </c>
      <c r="R82" s="2">
        <v>13826662</v>
      </c>
      <c r="S82" s="2" t="str">
        <f t="shared" si="10"/>
        <v>Highly Viral</v>
      </c>
      <c r="T82" s="2" t="s">
        <v>44</v>
      </c>
      <c r="U82" s="3" t="s">
        <v>25</v>
      </c>
    </row>
    <row r="83" spans="1:21" x14ac:dyDescent="0.3">
      <c r="A83" s="4" t="s">
        <v>143</v>
      </c>
      <c r="B83" s="9">
        <v>45641</v>
      </c>
      <c r="C83" s="4" t="s">
        <v>69</v>
      </c>
      <c r="D83" s="4" t="s">
        <v>50</v>
      </c>
      <c r="E83" s="4" t="s">
        <v>35</v>
      </c>
      <c r="F83" s="4" t="s">
        <v>41</v>
      </c>
      <c r="G83" s="4" t="s">
        <v>29</v>
      </c>
      <c r="H83" s="14">
        <v>87.1</v>
      </c>
      <c r="I83" s="2" t="str">
        <f t="shared" si="5"/>
        <v>High Risk</v>
      </c>
      <c r="J83" s="4">
        <v>80.400000000000006</v>
      </c>
      <c r="K83" s="2" t="str">
        <f t="shared" si="11"/>
        <v>High Confidence</v>
      </c>
      <c r="L83" s="4" t="s">
        <v>30</v>
      </c>
      <c r="M83" s="2" t="str">
        <f t="shared" si="7"/>
        <v>AI Generated</v>
      </c>
      <c r="N83" s="4">
        <v>0.24099999999999999</v>
      </c>
      <c r="O83" s="4" t="s">
        <v>23</v>
      </c>
      <c r="P83" s="4">
        <v>1200658</v>
      </c>
      <c r="Q83" s="2" t="str">
        <f t="shared" si="12"/>
        <v>Medium</v>
      </c>
      <c r="R83" s="4">
        <v>7791451</v>
      </c>
      <c r="S83" s="2" t="str">
        <f t="shared" si="10"/>
        <v>Highly Viral</v>
      </c>
      <c r="T83" s="4" t="s">
        <v>24</v>
      </c>
      <c r="U83" s="6" t="s">
        <v>48</v>
      </c>
    </row>
    <row r="84" spans="1:21" x14ac:dyDescent="0.3">
      <c r="A84" s="2" t="s">
        <v>144</v>
      </c>
      <c r="B84" s="8">
        <v>45618</v>
      </c>
      <c r="C84" s="2" t="s">
        <v>34</v>
      </c>
      <c r="D84" s="2" t="s">
        <v>55</v>
      </c>
      <c r="E84" s="2" t="s">
        <v>19</v>
      </c>
      <c r="F84" s="2" t="s">
        <v>36</v>
      </c>
      <c r="G84" s="2" t="s">
        <v>67</v>
      </c>
      <c r="H84" s="13">
        <v>89.9</v>
      </c>
      <c r="I84" s="2" t="str">
        <f t="shared" si="5"/>
        <v>High Risk</v>
      </c>
      <c r="J84" s="2">
        <v>72.8</v>
      </c>
      <c r="K84" s="2" t="str">
        <f t="shared" si="11"/>
        <v>High Confidence</v>
      </c>
      <c r="L84" s="2" t="s">
        <v>30</v>
      </c>
      <c r="M84" s="2" t="str">
        <f t="shared" si="7"/>
        <v>AI Generated</v>
      </c>
      <c r="N84" s="2">
        <v>0.28799999999999998</v>
      </c>
      <c r="O84" s="2" t="s">
        <v>23</v>
      </c>
      <c r="P84" s="2">
        <v>1325295</v>
      </c>
      <c r="Q84" s="2" t="str">
        <f t="shared" si="12"/>
        <v>Medium</v>
      </c>
      <c r="R84" s="2">
        <v>2478894</v>
      </c>
      <c r="S84" s="2" t="str">
        <f t="shared" si="10"/>
        <v>Moderately Viral</v>
      </c>
      <c r="T84" s="2" t="s">
        <v>24</v>
      </c>
      <c r="U84" s="6" t="s">
        <v>48</v>
      </c>
    </row>
    <row r="85" spans="1:21" x14ac:dyDescent="0.3">
      <c r="A85" s="4" t="s">
        <v>145</v>
      </c>
      <c r="B85" s="9">
        <v>45468</v>
      </c>
      <c r="C85" s="4" t="s">
        <v>34</v>
      </c>
      <c r="D85" s="4" t="s">
        <v>55</v>
      </c>
      <c r="E85" s="4" t="s">
        <v>19</v>
      </c>
      <c r="F85" s="4" t="s">
        <v>76</v>
      </c>
      <c r="G85" s="4" t="s">
        <v>74</v>
      </c>
      <c r="H85" s="14">
        <v>30.2</v>
      </c>
      <c r="I85" s="2" t="str">
        <f t="shared" si="5"/>
        <v>Moderate Risk</v>
      </c>
      <c r="J85" s="4">
        <v>99</v>
      </c>
      <c r="K85" s="2" t="str">
        <f t="shared" si="11"/>
        <v>High Confidence</v>
      </c>
      <c r="L85" s="4" t="s">
        <v>22</v>
      </c>
      <c r="M85" s="2" t="str">
        <f t="shared" si="7"/>
        <v>Human Content</v>
      </c>
      <c r="N85" s="4">
        <v>0.85299999999999998</v>
      </c>
      <c r="O85" s="4" t="s">
        <v>30</v>
      </c>
      <c r="P85" s="4">
        <v>1989925</v>
      </c>
      <c r="Q85" s="2" t="str">
        <f t="shared" si="12"/>
        <v>Medium</v>
      </c>
      <c r="R85" s="4">
        <v>12796962</v>
      </c>
      <c r="S85" s="2" t="str">
        <f t="shared" si="10"/>
        <v>Highly Viral</v>
      </c>
      <c r="T85" s="4" t="s">
        <v>44</v>
      </c>
      <c r="U85" s="3" t="s">
        <v>25</v>
      </c>
    </row>
    <row r="86" spans="1:21" x14ac:dyDescent="0.3">
      <c r="A86" s="2" t="s">
        <v>146</v>
      </c>
      <c r="B86" s="8">
        <v>45475</v>
      </c>
      <c r="C86" s="2" t="s">
        <v>34</v>
      </c>
      <c r="D86" s="2" t="s">
        <v>40</v>
      </c>
      <c r="E86" s="2" t="s">
        <v>47</v>
      </c>
      <c r="F86" s="2" t="s">
        <v>36</v>
      </c>
      <c r="G86" s="2" t="s">
        <v>37</v>
      </c>
      <c r="H86" s="13">
        <v>27.4</v>
      </c>
      <c r="I86" s="2" t="str">
        <f t="shared" si="5"/>
        <v>Moderate Risk</v>
      </c>
      <c r="J86" s="2">
        <v>77.7</v>
      </c>
      <c r="K86" s="2" t="str">
        <f t="shared" si="11"/>
        <v>High Confidence</v>
      </c>
      <c r="L86" s="2" t="s">
        <v>22</v>
      </c>
      <c r="M86" s="2" t="str">
        <f t="shared" si="7"/>
        <v>Human Content</v>
      </c>
      <c r="N86" s="2">
        <v>0.68600000000000005</v>
      </c>
      <c r="O86" s="2" t="s">
        <v>23</v>
      </c>
      <c r="P86" s="2">
        <v>411512</v>
      </c>
      <c r="Q86" s="2" t="str">
        <f t="shared" si="12"/>
        <v>Low</v>
      </c>
      <c r="R86" s="2">
        <v>16667901</v>
      </c>
      <c r="S86" s="2" t="str">
        <f t="shared" si="10"/>
        <v>Highly Viral</v>
      </c>
      <c r="T86" s="2" t="s">
        <v>56</v>
      </c>
      <c r="U86" s="3" t="s">
        <v>25</v>
      </c>
    </row>
    <row r="87" spans="1:21" x14ac:dyDescent="0.3">
      <c r="A87" s="4" t="s">
        <v>147</v>
      </c>
      <c r="B87" s="9">
        <v>45409</v>
      </c>
      <c r="C87" s="4" t="s">
        <v>39</v>
      </c>
      <c r="D87" s="4" t="s">
        <v>50</v>
      </c>
      <c r="E87" s="4" t="s">
        <v>28</v>
      </c>
      <c r="F87" s="4" t="s">
        <v>58</v>
      </c>
      <c r="G87" s="4" t="s">
        <v>64</v>
      </c>
      <c r="H87" s="14">
        <v>67.8</v>
      </c>
      <c r="I87" s="2" t="str">
        <f t="shared" si="5"/>
        <v>High Risk</v>
      </c>
      <c r="J87" s="4">
        <v>85.3</v>
      </c>
      <c r="K87" s="2" t="str">
        <f t="shared" si="11"/>
        <v>High Confidence</v>
      </c>
      <c r="L87" s="4" t="s">
        <v>30</v>
      </c>
      <c r="M87" s="2" t="str">
        <f t="shared" si="7"/>
        <v>AI Generated</v>
      </c>
      <c r="N87" s="4">
        <v>0.65900000000000003</v>
      </c>
      <c r="O87" s="4" t="s">
        <v>30</v>
      </c>
      <c r="P87" s="4">
        <v>815170</v>
      </c>
      <c r="Q87" s="2" t="str">
        <f t="shared" si="12"/>
        <v>Low</v>
      </c>
      <c r="R87" s="4">
        <v>1323302</v>
      </c>
      <c r="S87" s="2" t="str">
        <f t="shared" si="10"/>
        <v>Moderately Viral</v>
      </c>
      <c r="T87" s="4" t="s">
        <v>56</v>
      </c>
      <c r="U87" s="6" t="s">
        <v>48</v>
      </c>
    </row>
    <row r="88" spans="1:21" x14ac:dyDescent="0.3">
      <c r="A88" s="2" t="s">
        <v>148</v>
      </c>
      <c r="B88" s="8">
        <v>45517</v>
      </c>
      <c r="C88" s="2" t="s">
        <v>27</v>
      </c>
      <c r="D88" s="2" t="s">
        <v>60</v>
      </c>
      <c r="E88" s="2" t="s">
        <v>51</v>
      </c>
      <c r="F88" s="2" t="s">
        <v>36</v>
      </c>
      <c r="G88" s="2" t="s">
        <v>21</v>
      </c>
      <c r="H88" s="13">
        <v>9</v>
      </c>
      <c r="I88" s="2" t="str">
        <f t="shared" si="5"/>
        <v>Moderate Risk</v>
      </c>
      <c r="J88" s="2">
        <v>64.5</v>
      </c>
      <c r="K88" s="2" t="str">
        <f>IF(J88&gt;70,"High Confidence",IF(J88&gt;30,"Moderate Confidence",IF(J88&lt;30,"Low Confidence")))</f>
        <v>Moderate Confidence</v>
      </c>
      <c r="L88" s="2" t="s">
        <v>22</v>
      </c>
      <c r="M88" s="2" t="str">
        <f t="shared" si="7"/>
        <v>Human Content</v>
      </c>
      <c r="N88" s="2">
        <v>0.747</v>
      </c>
      <c r="O88" s="2" t="s">
        <v>30</v>
      </c>
      <c r="P88" s="2">
        <v>1684488</v>
      </c>
      <c r="Q88" s="2" t="str">
        <f t="shared" si="12"/>
        <v>Medium</v>
      </c>
      <c r="R88" s="2">
        <v>4435046</v>
      </c>
      <c r="S88" s="2" t="str">
        <f t="shared" si="10"/>
        <v>Moderately Viral</v>
      </c>
      <c r="T88" s="2" t="s">
        <v>44</v>
      </c>
      <c r="U88" s="3" t="s">
        <v>25</v>
      </c>
    </row>
    <row r="89" spans="1:21" x14ac:dyDescent="0.3">
      <c r="A89" s="4" t="s">
        <v>149</v>
      </c>
      <c r="B89" s="9">
        <v>45479</v>
      </c>
      <c r="C89" s="4" t="s">
        <v>34</v>
      </c>
      <c r="D89" s="4" t="s">
        <v>50</v>
      </c>
      <c r="E89" s="4" t="s">
        <v>19</v>
      </c>
      <c r="F89" s="4" t="s">
        <v>76</v>
      </c>
      <c r="G89" s="4" t="s">
        <v>74</v>
      </c>
      <c r="H89" s="14">
        <v>29.5</v>
      </c>
      <c r="I89" s="2" t="str">
        <f t="shared" si="5"/>
        <v>Moderate Risk</v>
      </c>
      <c r="J89" s="4">
        <v>92.6</v>
      </c>
      <c r="K89" s="2" t="str">
        <f t="shared" ref="K89:K152" si="13">IF(J89&gt;70,"High Confidence",IF(J89&gt;30,"Moderate Confidence",IF(J89&lt;30,"Low Confidence")))</f>
        <v>High Confidence</v>
      </c>
      <c r="L89" s="4" t="s">
        <v>22</v>
      </c>
      <c r="M89" s="2" t="str">
        <f t="shared" si="7"/>
        <v>Human Content</v>
      </c>
      <c r="N89" s="4">
        <v>0.80400000000000005</v>
      </c>
      <c r="O89" s="4" t="s">
        <v>22</v>
      </c>
      <c r="P89" s="4">
        <v>631756</v>
      </c>
      <c r="Q89" s="2" t="str">
        <f t="shared" si="12"/>
        <v>Low</v>
      </c>
      <c r="R89" s="4">
        <v>4723521</v>
      </c>
      <c r="S89" s="2" t="str">
        <f t="shared" si="10"/>
        <v>Moderately Viral</v>
      </c>
      <c r="T89" s="4" t="s">
        <v>31</v>
      </c>
      <c r="U89" s="3" t="s">
        <v>25</v>
      </c>
    </row>
    <row r="90" spans="1:21" x14ac:dyDescent="0.3">
      <c r="A90" s="2" t="s">
        <v>150</v>
      </c>
      <c r="B90" s="8">
        <v>45638</v>
      </c>
      <c r="C90" s="2" t="s">
        <v>78</v>
      </c>
      <c r="D90" s="2" t="s">
        <v>60</v>
      </c>
      <c r="E90" s="2" t="s">
        <v>51</v>
      </c>
      <c r="F90" s="2" t="s">
        <v>41</v>
      </c>
      <c r="G90" s="2" t="s">
        <v>74</v>
      </c>
      <c r="H90" s="13">
        <v>39.5</v>
      </c>
      <c r="I90" s="2" t="str">
        <f t="shared" si="5"/>
        <v>Moderate Risk</v>
      </c>
      <c r="J90" s="2">
        <v>63</v>
      </c>
      <c r="K90" s="2" t="str">
        <f t="shared" si="13"/>
        <v>Moderate Confidence</v>
      </c>
      <c r="L90" s="2" t="s">
        <v>43</v>
      </c>
      <c r="M90" s="2" t="str">
        <f t="shared" si="7"/>
        <v>Human Content</v>
      </c>
      <c r="N90" s="2">
        <v>0.124</v>
      </c>
      <c r="O90" s="2" t="s">
        <v>22</v>
      </c>
      <c r="P90" s="2">
        <v>2199269</v>
      </c>
      <c r="Q90" s="2" t="str">
        <f t="shared" si="12"/>
        <v>Medium</v>
      </c>
      <c r="R90" s="2">
        <v>19615081</v>
      </c>
      <c r="S90" s="2" t="str">
        <f t="shared" si="10"/>
        <v>Highly Viral</v>
      </c>
      <c r="T90" s="2" t="s">
        <v>24</v>
      </c>
      <c r="U90" s="5" t="s">
        <v>32</v>
      </c>
    </row>
    <row r="91" spans="1:21" x14ac:dyDescent="0.3">
      <c r="A91" s="4" t="s">
        <v>151</v>
      </c>
      <c r="B91" s="9">
        <v>45618</v>
      </c>
      <c r="C91" s="4" t="s">
        <v>39</v>
      </c>
      <c r="D91" s="4" t="s">
        <v>18</v>
      </c>
      <c r="E91" s="4" t="s">
        <v>28</v>
      </c>
      <c r="F91" s="4" t="s">
        <v>76</v>
      </c>
      <c r="G91" s="4" t="s">
        <v>67</v>
      </c>
      <c r="H91" s="14">
        <v>62</v>
      </c>
      <c r="I91" s="2" t="str">
        <f t="shared" si="5"/>
        <v>High Risk</v>
      </c>
      <c r="J91" s="4">
        <v>96.2</v>
      </c>
      <c r="K91" s="2" t="str">
        <f t="shared" si="13"/>
        <v>High Confidence</v>
      </c>
      <c r="L91" s="4" t="s">
        <v>30</v>
      </c>
      <c r="M91" s="2" t="str">
        <f t="shared" si="7"/>
        <v>AI Generated</v>
      </c>
      <c r="N91" s="4">
        <v>0.32800000000000001</v>
      </c>
      <c r="O91" s="4" t="s">
        <v>23</v>
      </c>
      <c r="P91" s="4">
        <v>1857062</v>
      </c>
      <c r="Q91" s="2" t="str">
        <f t="shared" si="12"/>
        <v>Medium</v>
      </c>
      <c r="R91" s="4">
        <v>2121711</v>
      </c>
      <c r="S91" s="2" t="str">
        <f t="shared" si="10"/>
        <v>Moderately Viral</v>
      </c>
      <c r="T91" s="4" t="s">
        <v>24</v>
      </c>
      <c r="U91" s="5" t="s">
        <v>32</v>
      </c>
    </row>
    <row r="92" spans="1:21" x14ac:dyDescent="0.3">
      <c r="A92" s="2" t="s">
        <v>152</v>
      </c>
      <c r="B92" s="8">
        <v>45650</v>
      </c>
      <c r="C92" s="2" t="s">
        <v>34</v>
      </c>
      <c r="D92" s="2" t="s">
        <v>55</v>
      </c>
      <c r="E92" s="2" t="s">
        <v>73</v>
      </c>
      <c r="F92" s="2" t="s">
        <v>20</v>
      </c>
      <c r="G92" s="2" t="s">
        <v>67</v>
      </c>
      <c r="H92" s="13">
        <v>94.6</v>
      </c>
      <c r="I92" s="2" t="str">
        <f t="shared" si="5"/>
        <v>High Risk</v>
      </c>
      <c r="J92" s="2">
        <v>64.900000000000006</v>
      </c>
      <c r="K92" s="2" t="str">
        <f t="shared" si="13"/>
        <v>Moderate Confidence</v>
      </c>
      <c r="L92" s="2" t="s">
        <v>30</v>
      </c>
      <c r="M92" s="2" t="str">
        <f t="shared" si="7"/>
        <v>AI Generated</v>
      </c>
      <c r="N92" s="2">
        <v>0.49299999999999999</v>
      </c>
      <c r="O92" s="2" t="s">
        <v>30</v>
      </c>
      <c r="P92" s="2">
        <v>1969745</v>
      </c>
      <c r="Q92" s="2" t="str">
        <f t="shared" si="12"/>
        <v>Medium</v>
      </c>
      <c r="R92" s="2">
        <v>18037571</v>
      </c>
      <c r="S92" s="2" t="str">
        <f t="shared" si="10"/>
        <v>Highly Viral</v>
      </c>
      <c r="T92" s="2" t="s">
        <v>31</v>
      </c>
      <c r="U92" s="6" t="s">
        <v>48</v>
      </c>
    </row>
    <row r="93" spans="1:21" x14ac:dyDescent="0.3">
      <c r="A93" s="4" t="s">
        <v>153</v>
      </c>
      <c r="B93" s="9">
        <v>45490</v>
      </c>
      <c r="C93" s="4" t="s">
        <v>54</v>
      </c>
      <c r="D93" s="4" t="s">
        <v>40</v>
      </c>
      <c r="E93" s="4" t="s">
        <v>88</v>
      </c>
      <c r="F93" s="4" t="s">
        <v>58</v>
      </c>
      <c r="G93" s="4" t="s">
        <v>42</v>
      </c>
      <c r="H93" s="14">
        <v>72.7</v>
      </c>
      <c r="I93" s="2" t="str">
        <f t="shared" si="5"/>
        <v>High Risk</v>
      </c>
      <c r="J93" s="4">
        <v>93.4</v>
      </c>
      <c r="K93" s="2" t="str">
        <f t="shared" si="13"/>
        <v>High Confidence</v>
      </c>
      <c r="L93" s="4" t="s">
        <v>30</v>
      </c>
      <c r="M93" s="2" t="str">
        <f t="shared" si="7"/>
        <v>AI Generated</v>
      </c>
      <c r="N93" s="4">
        <v>0.65500000000000003</v>
      </c>
      <c r="O93" s="4" t="s">
        <v>22</v>
      </c>
      <c r="P93" s="4">
        <v>3423624</v>
      </c>
      <c r="Q93" s="2" t="str">
        <f t="shared" si="12"/>
        <v>Medium</v>
      </c>
      <c r="R93" s="4">
        <v>9387021</v>
      </c>
      <c r="S93" s="2" t="str">
        <f t="shared" si="10"/>
        <v>Highly Viral</v>
      </c>
      <c r="T93" s="4" t="s">
        <v>61</v>
      </c>
      <c r="U93" s="6" t="s">
        <v>48</v>
      </c>
    </row>
    <row r="94" spans="1:21" x14ac:dyDescent="0.3">
      <c r="A94" s="2" t="s">
        <v>154</v>
      </c>
      <c r="B94" s="8">
        <v>45645</v>
      </c>
      <c r="C94" s="2" t="s">
        <v>39</v>
      </c>
      <c r="D94" s="2" t="s">
        <v>50</v>
      </c>
      <c r="E94" s="2" t="s">
        <v>71</v>
      </c>
      <c r="F94" s="2" t="s">
        <v>76</v>
      </c>
      <c r="G94" s="2" t="s">
        <v>21</v>
      </c>
      <c r="H94" s="13">
        <v>85.5</v>
      </c>
      <c r="I94" s="2" t="str">
        <f t="shared" si="5"/>
        <v>High Risk</v>
      </c>
      <c r="J94" s="2">
        <v>54.9</v>
      </c>
      <c r="K94" s="2" t="str">
        <f t="shared" si="13"/>
        <v>Moderate Confidence</v>
      </c>
      <c r="L94" s="2" t="s">
        <v>30</v>
      </c>
      <c r="M94" s="2" t="str">
        <f t="shared" si="7"/>
        <v>AI Generated</v>
      </c>
      <c r="N94" s="2">
        <v>0.68600000000000005</v>
      </c>
      <c r="O94" s="2" t="s">
        <v>23</v>
      </c>
      <c r="P94" s="2">
        <v>3008874</v>
      </c>
      <c r="Q94" s="2" t="str">
        <f t="shared" si="12"/>
        <v>Medium</v>
      </c>
      <c r="R94" s="2">
        <v>2032223</v>
      </c>
      <c r="S94" s="2" t="str">
        <f t="shared" si="10"/>
        <v>Moderately Viral</v>
      </c>
      <c r="T94" s="2" t="s">
        <v>24</v>
      </c>
      <c r="U94" s="6" t="s">
        <v>48</v>
      </c>
    </row>
    <row r="95" spans="1:21" x14ac:dyDescent="0.3">
      <c r="A95" s="4" t="s">
        <v>155</v>
      </c>
      <c r="B95" s="9">
        <v>45433</v>
      </c>
      <c r="C95" s="4" t="s">
        <v>46</v>
      </c>
      <c r="D95" s="4" t="s">
        <v>18</v>
      </c>
      <c r="E95" s="4" t="s">
        <v>71</v>
      </c>
      <c r="F95" s="4" t="s">
        <v>41</v>
      </c>
      <c r="G95" s="4" t="s">
        <v>42</v>
      </c>
      <c r="H95" s="14">
        <v>21.2</v>
      </c>
      <c r="I95" s="2" t="str">
        <f t="shared" si="5"/>
        <v>Moderate Risk</v>
      </c>
      <c r="J95" s="4">
        <v>81.3</v>
      </c>
      <c r="K95" s="2" t="str">
        <f t="shared" si="13"/>
        <v>High Confidence</v>
      </c>
      <c r="L95" s="4" t="s">
        <v>22</v>
      </c>
      <c r="M95" s="2" t="str">
        <f t="shared" si="7"/>
        <v>Human Content</v>
      </c>
      <c r="N95" s="4">
        <v>0.97099999999999997</v>
      </c>
      <c r="O95" s="4" t="s">
        <v>30</v>
      </c>
      <c r="P95" s="4">
        <v>2797777</v>
      </c>
      <c r="Q95" s="2" t="str">
        <f t="shared" si="12"/>
        <v>Medium</v>
      </c>
      <c r="R95" s="4">
        <v>8173315</v>
      </c>
      <c r="S95" s="2" t="str">
        <f t="shared" si="10"/>
        <v>Highly Viral</v>
      </c>
      <c r="T95" s="4" t="s">
        <v>31</v>
      </c>
      <c r="U95" s="3" t="s">
        <v>25</v>
      </c>
    </row>
    <row r="96" spans="1:21" x14ac:dyDescent="0.3">
      <c r="A96" s="2" t="s">
        <v>156</v>
      </c>
      <c r="B96" s="8">
        <v>45581</v>
      </c>
      <c r="C96" s="2" t="s">
        <v>46</v>
      </c>
      <c r="D96" s="2" t="s">
        <v>18</v>
      </c>
      <c r="E96" s="2" t="s">
        <v>28</v>
      </c>
      <c r="F96" s="2" t="s">
        <v>58</v>
      </c>
      <c r="G96" s="2" t="s">
        <v>21</v>
      </c>
      <c r="H96" s="13">
        <v>81.3</v>
      </c>
      <c r="I96" s="2" t="str">
        <f t="shared" si="5"/>
        <v>High Risk</v>
      </c>
      <c r="J96" s="2">
        <v>61.4</v>
      </c>
      <c r="K96" s="2" t="str">
        <f t="shared" si="13"/>
        <v>Moderate Confidence</v>
      </c>
      <c r="L96" s="2" t="s">
        <v>30</v>
      </c>
      <c r="M96" s="2" t="str">
        <f t="shared" si="7"/>
        <v>AI Generated</v>
      </c>
      <c r="N96" s="2">
        <v>0.77400000000000002</v>
      </c>
      <c r="O96" s="2" t="s">
        <v>23</v>
      </c>
      <c r="P96" s="2">
        <v>23886</v>
      </c>
      <c r="Q96" s="2" t="str">
        <f t="shared" si="12"/>
        <v>Low</v>
      </c>
      <c r="R96" s="2">
        <v>9304299</v>
      </c>
      <c r="S96" s="2" t="str">
        <f t="shared" si="10"/>
        <v>Highly Viral</v>
      </c>
      <c r="T96" s="2" t="s">
        <v>31</v>
      </c>
      <c r="U96" s="6" t="s">
        <v>48</v>
      </c>
    </row>
    <row r="97" spans="1:21" x14ac:dyDescent="0.3">
      <c r="A97" s="4" t="s">
        <v>157</v>
      </c>
      <c r="B97" s="9">
        <v>45358</v>
      </c>
      <c r="C97" s="4" t="s">
        <v>34</v>
      </c>
      <c r="D97" s="4" t="s">
        <v>50</v>
      </c>
      <c r="E97" s="4" t="s">
        <v>73</v>
      </c>
      <c r="F97" s="4" t="s">
        <v>36</v>
      </c>
      <c r="G97" s="4" t="s">
        <v>74</v>
      </c>
      <c r="H97" s="14">
        <v>2.6</v>
      </c>
      <c r="I97" s="2" t="str">
        <f t="shared" si="5"/>
        <v>Moderate Risk</v>
      </c>
      <c r="J97" s="4">
        <v>50.7</v>
      </c>
      <c r="K97" s="2" t="str">
        <f t="shared" si="13"/>
        <v>Moderate Confidence</v>
      </c>
      <c r="L97" s="4" t="s">
        <v>22</v>
      </c>
      <c r="M97" s="2" t="str">
        <f t="shared" si="7"/>
        <v>Human Content</v>
      </c>
      <c r="N97" s="4">
        <v>0.79</v>
      </c>
      <c r="O97" s="4" t="s">
        <v>30</v>
      </c>
      <c r="P97" s="4">
        <v>4939756</v>
      </c>
      <c r="Q97" s="2" t="str">
        <f t="shared" si="12"/>
        <v>High</v>
      </c>
      <c r="R97" s="4">
        <v>10864467</v>
      </c>
      <c r="S97" s="2" t="str">
        <f t="shared" si="10"/>
        <v>Highly Viral</v>
      </c>
      <c r="T97" s="4" t="s">
        <v>61</v>
      </c>
      <c r="U97" s="3" t="s">
        <v>25</v>
      </c>
    </row>
    <row r="98" spans="1:21" x14ac:dyDescent="0.3">
      <c r="A98" s="2" t="s">
        <v>158</v>
      </c>
      <c r="B98" s="8">
        <v>45381</v>
      </c>
      <c r="C98" s="2" t="s">
        <v>34</v>
      </c>
      <c r="D98" s="2" t="s">
        <v>18</v>
      </c>
      <c r="E98" s="2" t="s">
        <v>35</v>
      </c>
      <c r="F98" s="2" t="s">
        <v>36</v>
      </c>
      <c r="G98" s="2" t="s">
        <v>37</v>
      </c>
      <c r="H98" s="13">
        <v>52.6</v>
      </c>
      <c r="I98" s="2" t="str">
        <f t="shared" si="5"/>
        <v>Moderate Risk</v>
      </c>
      <c r="J98" s="2">
        <v>86.5</v>
      </c>
      <c r="K98" s="2" t="str">
        <f t="shared" si="13"/>
        <v>High Confidence</v>
      </c>
      <c r="L98" s="2" t="s">
        <v>43</v>
      </c>
      <c r="M98" s="2" t="str">
        <f t="shared" si="7"/>
        <v>Human Content</v>
      </c>
      <c r="N98" s="2">
        <v>0.47599999999999998</v>
      </c>
      <c r="O98" s="2" t="s">
        <v>22</v>
      </c>
      <c r="P98" s="2">
        <v>4305452</v>
      </c>
      <c r="Q98" s="2" t="str">
        <f>IF(P98&gt;4000000,"High",IF(P98&gt;1000000,"Medium",IF(P98&lt;1000000,"Low")))</f>
        <v>High</v>
      </c>
      <c r="R98" s="2">
        <v>19920626</v>
      </c>
      <c r="S98" s="2" t="str">
        <f t="shared" si="10"/>
        <v>Highly Viral</v>
      </c>
      <c r="T98" s="2" t="s">
        <v>61</v>
      </c>
      <c r="U98" s="5" t="s">
        <v>32</v>
      </c>
    </row>
    <row r="99" spans="1:21" x14ac:dyDescent="0.3">
      <c r="A99" s="4" t="s">
        <v>159</v>
      </c>
      <c r="B99" s="9">
        <v>45523</v>
      </c>
      <c r="C99" s="4" t="s">
        <v>46</v>
      </c>
      <c r="D99" s="4" t="s">
        <v>60</v>
      </c>
      <c r="E99" s="4" t="s">
        <v>47</v>
      </c>
      <c r="F99" s="4" t="s">
        <v>36</v>
      </c>
      <c r="G99" s="4" t="s">
        <v>74</v>
      </c>
      <c r="H99" s="14">
        <v>90.9</v>
      </c>
      <c r="I99" s="2" t="str">
        <f t="shared" si="5"/>
        <v>High Risk</v>
      </c>
      <c r="J99" s="4">
        <v>82.3</v>
      </c>
      <c r="K99" s="2" t="str">
        <f t="shared" si="13"/>
        <v>High Confidence</v>
      </c>
      <c r="L99" s="4" t="s">
        <v>30</v>
      </c>
      <c r="M99" s="2" t="str">
        <f t="shared" si="7"/>
        <v>AI Generated</v>
      </c>
      <c r="N99" s="4">
        <v>0.30199999999999999</v>
      </c>
      <c r="O99" s="4" t="s">
        <v>23</v>
      </c>
      <c r="P99" s="4">
        <v>261410</v>
      </c>
      <c r="Q99" s="2" t="str">
        <f t="shared" si="12"/>
        <v>Low</v>
      </c>
      <c r="R99" s="4">
        <v>2041461</v>
      </c>
      <c r="S99" s="2" t="str">
        <f t="shared" si="10"/>
        <v>Moderately Viral</v>
      </c>
      <c r="T99" s="4" t="s">
        <v>24</v>
      </c>
      <c r="U99" s="6" t="s">
        <v>48</v>
      </c>
    </row>
    <row r="100" spans="1:21" x14ac:dyDescent="0.3">
      <c r="A100" s="2" t="s">
        <v>160</v>
      </c>
      <c r="B100" s="8">
        <v>45497</v>
      </c>
      <c r="C100" s="2" t="s">
        <v>78</v>
      </c>
      <c r="D100" s="2" t="s">
        <v>18</v>
      </c>
      <c r="E100" s="2" t="s">
        <v>71</v>
      </c>
      <c r="F100" s="2" t="s">
        <v>36</v>
      </c>
      <c r="G100" s="2" t="s">
        <v>37</v>
      </c>
      <c r="H100" s="13">
        <v>7.3</v>
      </c>
      <c r="I100" s="2" t="str">
        <f t="shared" si="5"/>
        <v>Moderate Risk</v>
      </c>
      <c r="J100" s="2">
        <v>54</v>
      </c>
      <c r="K100" s="2" t="str">
        <f t="shared" si="13"/>
        <v>Moderate Confidence</v>
      </c>
      <c r="L100" s="2" t="s">
        <v>22</v>
      </c>
      <c r="M100" s="2" t="str">
        <f t="shared" si="7"/>
        <v>Human Content</v>
      </c>
      <c r="N100" s="2">
        <v>0.60799999999999998</v>
      </c>
      <c r="O100" s="2" t="s">
        <v>30</v>
      </c>
      <c r="P100" s="2">
        <v>1058671</v>
      </c>
      <c r="Q100" s="2" t="str">
        <f t="shared" si="12"/>
        <v>Medium</v>
      </c>
      <c r="R100" s="2">
        <v>9228505</v>
      </c>
      <c r="S100" s="2" t="str">
        <f t="shared" si="10"/>
        <v>Highly Viral</v>
      </c>
      <c r="T100" s="2" t="s">
        <v>44</v>
      </c>
      <c r="U100" s="3" t="s">
        <v>25</v>
      </c>
    </row>
    <row r="101" spans="1:21" x14ac:dyDescent="0.3">
      <c r="A101" s="4" t="s">
        <v>161</v>
      </c>
      <c r="B101" s="9">
        <v>45616</v>
      </c>
      <c r="C101" s="4" t="s">
        <v>39</v>
      </c>
      <c r="D101" s="4" t="s">
        <v>55</v>
      </c>
      <c r="E101" s="4" t="s">
        <v>19</v>
      </c>
      <c r="F101" s="4" t="s">
        <v>76</v>
      </c>
      <c r="G101" s="4" t="s">
        <v>29</v>
      </c>
      <c r="H101" s="14">
        <v>60.5</v>
      </c>
      <c r="I101" s="2" t="str">
        <f t="shared" si="5"/>
        <v>High Risk</v>
      </c>
      <c r="J101" s="4">
        <v>54.9</v>
      </c>
      <c r="K101" s="2" t="str">
        <f t="shared" si="13"/>
        <v>Moderate Confidence</v>
      </c>
      <c r="L101" s="4" t="s">
        <v>30</v>
      </c>
      <c r="M101" s="2" t="str">
        <f t="shared" si="7"/>
        <v>AI Generated</v>
      </c>
      <c r="N101" s="4">
        <v>0.70199999999999996</v>
      </c>
      <c r="O101" s="4" t="s">
        <v>23</v>
      </c>
      <c r="P101" s="4">
        <v>4625035</v>
      </c>
      <c r="Q101" s="2" t="str">
        <f t="shared" si="12"/>
        <v>High</v>
      </c>
      <c r="R101" s="4">
        <v>7215476</v>
      </c>
      <c r="S101" s="2" t="str">
        <f t="shared" si="10"/>
        <v>Highly Viral</v>
      </c>
      <c r="T101" s="4" t="s">
        <v>24</v>
      </c>
      <c r="U101" s="5" t="s">
        <v>32</v>
      </c>
    </row>
    <row r="102" spans="1:21" x14ac:dyDescent="0.3">
      <c r="A102" s="2" t="s">
        <v>162</v>
      </c>
      <c r="B102" s="8">
        <v>45523</v>
      </c>
      <c r="C102" s="2" t="s">
        <v>46</v>
      </c>
      <c r="D102" s="2" t="s">
        <v>55</v>
      </c>
      <c r="E102" s="2" t="s">
        <v>51</v>
      </c>
      <c r="F102" s="2" t="s">
        <v>76</v>
      </c>
      <c r="G102" s="2" t="s">
        <v>37</v>
      </c>
      <c r="H102" s="13">
        <v>41.6</v>
      </c>
      <c r="I102" s="2" t="str">
        <f t="shared" si="5"/>
        <v>Moderate Risk</v>
      </c>
      <c r="J102" s="2">
        <v>54.7</v>
      </c>
      <c r="K102" s="2" t="str">
        <f t="shared" si="13"/>
        <v>Moderate Confidence</v>
      </c>
      <c r="L102" s="2" t="s">
        <v>43</v>
      </c>
      <c r="M102" s="2" t="str">
        <f t="shared" si="7"/>
        <v>Human Content</v>
      </c>
      <c r="N102" s="2">
        <v>0.42699999999999999</v>
      </c>
      <c r="O102" s="2" t="s">
        <v>23</v>
      </c>
      <c r="P102" s="2">
        <v>2138270</v>
      </c>
      <c r="Q102" s="2" t="str">
        <f>IF(P102&gt;4000000,"High",IF(P102&gt;1000000,"Medium",IF(P102&lt;1000000,"Low")))</f>
        <v>Medium</v>
      </c>
      <c r="R102" s="2">
        <v>12559958</v>
      </c>
      <c r="S102" s="2" t="str">
        <f t="shared" si="10"/>
        <v>Highly Viral</v>
      </c>
      <c r="T102" s="2" t="s">
        <v>31</v>
      </c>
      <c r="U102" s="5" t="s">
        <v>32</v>
      </c>
    </row>
    <row r="103" spans="1:21" x14ac:dyDescent="0.3">
      <c r="A103" s="4" t="s">
        <v>163</v>
      </c>
      <c r="B103" s="9">
        <v>45643</v>
      </c>
      <c r="C103" s="4" t="s">
        <v>54</v>
      </c>
      <c r="D103" s="4" t="s">
        <v>18</v>
      </c>
      <c r="E103" s="4" t="s">
        <v>73</v>
      </c>
      <c r="F103" s="4" t="s">
        <v>41</v>
      </c>
      <c r="G103" s="4" t="s">
        <v>67</v>
      </c>
      <c r="H103" s="14">
        <v>43.2</v>
      </c>
      <c r="I103" s="2" t="str">
        <f t="shared" si="5"/>
        <v>Moderate Risk</v>
      </c>
      <c r="J103" s="4">
        <v>86.5</v>
      </c>
      <c r="K103" s="2" t="str">
        <f t="shared" si="13"/>
        <v>High Confidence</v>
      </c>
      <c r="L103" s="4" t="s">
        <v>43</v>
      </c>
      <c r="M103" s="2" t="str">
        <f t="shared" si="7"/>
        <v>Human Content</v>
      </c>
      <c r="N103" s="4">
        <v>0.373</v>
      </c>
      <c r="O103" s="4" t="s">
        <v>30</v>
      </c>
      <c r="P103" s="4">
        <v>4667276</v>
      </c>
      <c r="Q103" s="2" t="str">
        <f t="shared" ref="Q103:Q166" si="14">IF(P103&gt;4000000,"High",IF(P103&gt;1000000,"Medium",IF(P103&lt;1000000,"Low")))</f>
        <v>High</v>
      </c>
      <c r="R103" s="4">
        <v>2013127</v>
      </c>
      <c r="S103" s="2" t="str">
        <f t="shared" si="10"/>
        <v>Moderately Viral</v>
      </c>
      <c r="T103" s="4" t="s">
        <v>44</v>
      </c>
      <c r="U103" s="5" t="s">
        <v>32</v>
      </c>
    </row>
    <row r="104" spans="1:21" x14ac:dyDescent="0.3">
      <c r="A104" s="2" t="s">
        <v>164</v>
      </c>
      <c r="B104" s="8">
        <v>45579</v>
      </c>
      <c r="C104" s="2" t="s">
        <v>39</v>
      </c>
      <c r="D104" s="2" t="s">
        <v>18</v>
      </c>
      <c r="E104" s="2" t="s">
        <v>88</v>
      </c>
      <c r="F104" s="2" t="s">
        <v>52</v>
      </c>
      <c r="G104" s="2" t="s">
        <v>74</v>
      </c>
      <c r="H104" s="13">
        <v>66.5</v>
      </c>
      <c r="I104" s="2" t="str">
        <f t="shared" si="5"/>
        <v>High Risk</v>
      </c>
      <c r="J104" s="2">
        <v>86.8</v>
      </c>
      <c r="K104" s="2" t="str">
        <f t="shared" si="13"/>
        <v>High Confidence</v>
      </c>
      <c r="L104" s="2" t="s">
        <v>30</v>
      </c>
      <c r="M104" s="2" t="str">
        <f t="shared" si="7"/>
        <v>AI Generated</v>
      </c>
      <c r="N104" s="2">
        <v>0.86799999999999999</v>
      </c>
      <c r="O104" s="2" t="s">
        <v>23</v>
      </c>
      <c r="P104" s="2">
        <v>431660</v>
      </c>
      <c r="Q104" s="2" t="str">
        <f t="shared" si="14"/>
        <v>Low</v>
      </c>
      <c r="R104" s="2">
        <v>9651741</v>
      </c>
      <c r="S104" s="2" t="str">
        <f t="shared" si="10"/>
        <v>Highly Viral</v>
      </c>
      <c r="T104" s="2" t="s">
        <v>44</v>
      </c>
      <c r="U104" s="6" t="s">
        <v>48</v>
      </c>
    </row>
    <row r="105" spans="1:21" x14ac:dyDescent="0.3">
      <c r="A105" s="4" t="s">
        <v>165</v>
      </c>
      <c r="B105" s="9">
        <v>45451</v>
      </c>
      <c r="C105" s="4" t="s">
        <v>39</v>
      </c>
      <c r="D105" s="4" t="s">
        <v>18</v>
      </c>
      <c r="E105" s="4" t="s">
        <v>28</v>
      </c>
      <c r="F105" s="4" t="s">
        <v>20</v>
      </c>
      <c r="G105" s="4" t="s">
        <v>42</v>
      </c>
      <c r="H105" s="14">
        <v>48.2</v>
      </c>
      <c r="I105" s="2" t="str">
        <f t="shared" si="5"/>
        <v>Moderate Risk</v>
      </c>
      <c r="J105" s="4">
        <v>91.5</v>
      </c>
      <c r="K105" s="2" t="str">
        <f t="shared" si="13"/>
        <v>High Confidence</v>
      </c>
      <c r="L105" s="4" t="s">
        <v>43</v>
      </c>
      <c r="M105" s="2" t="str">
        <f t="shared" si="7"/>
        <v>Human Content</v>
      </c>
      <c r="N105" s="4">
        <v>0.35</v>
      </c>
      <c r="O105" s="4" t="s">
        <v>23</v>
      </c>
      <c r="P105" s="4">
        <v>3083425</v>
      </c>
      <c r="Q105" s="2" t="str">
        <f t="shared" si="14"/>
        <v>Medium</v>
      </c>
      <c r="R105" s="4">
        <v>3855411</v>
      </c>
      <c r="S105" s="2" t="str">
        <f t="shared" si="10"/>
        <v>Moderately Viral</v>
      </c>
      <c r="T105" s="4" t="s">
        <v>56</v>
      </c>
      <c r="U105" s="5" t="s">
        <v>32</v>
      </c>
    </row>
    <row r="106" spans="1:21" x14ac:dyDescent="0.3">
      <c r="A106" s="2" t="s">
        <v>166</v>
      </c>
      <c r="B106" s="8">
        <v>45585</v>
      </c>
      <c r="C106" s="2" t="s">
        <v>46</v>
      </c>
      <c r="D106" s="2" t="s">
        <v>55</v>
      </c>
      <c r="E106" s="2" t="s">
        <v>47</v>
      </c>
      <c r="F106" s="2" t="s">
        <v>58</v>
      </c>
      <c r="G106" s="2" t="s">
        <v>42</v>
      </c>
      <c r="H106" s="13">
        <v>82.9</v>
      </c>
      <c r="I106" s="2" t="str">
        <f t="shared" si="5"/>
        <v>High Risk</v>
      </c>
      <c r="J106" s="2">
        <v>63.1</v>
      </c>
      <c r="K106" s="2" t="str">
        <f t="shared" si="13"/>
        <v>Moderate Confidence</v>
      </c>
      <c r="L106" s="2" t="s">
        <v>30</v>
      </c>
      <c r="M106" s="2" t="str">
        <f t="shared" si="7"/>
        <v>AI Generated</v>
      </c>
      <c r="N106" s="2">
        <v>0.18</v>
      </c>
      <c r="O106" s="2" t="s">
        <v>23</v>
      </c>
      <c r="P106" s="2">
        <v>2592051</v>
      </c>
      <c r="Q106" s="2" t="str">
        <f t="shared" si="14"/>
        <v>Medium</v>
      </c>
      <c r="R106" s="2">
        <v>11403123</v>
      </c>
      <c r="S106" s="2" t="str">
        <f t="shared" si="10"/>
        <v>Highly Viral</v>
      </c>
      <c r="T106" s="2" t="s">
        <v>56</v>
      </c>
      <c r="U106" s="6" t="s">
        <v>48</v>
      </c>
    </row>
    <row r="107" spans="1:21" x14ac:dyDescent="0.3">
      <c r="A107" s="4" t="s">
        <v>167</v>
      </c>
      <c r="B107" s="9">
        <v>45295</v>
      </c>
      <c r="C107" s="4" t="s">
        <v>69</v>
      </c>
      <c r="D107" s="4" t="s">
        <v>50</v>
      </c>
      <c r="E107" s="4" t="s">
        <v>88</v>
      </c>
      <c r="F107" s="4" t="s">
        <v>41</v>
      </c>
      <c r="G107" s="4" t="s">
        <v>21</v>
      </c>
      <c r="H107" s="14">
        <v>74.099999999999994</v>
      </c>
      <c r="I107" s="2" t="str">
        <f t="shared" si="5"/>
        <v>High Risk</v>
      </c>
      <c r="J107" s="4">
        <v>97.6</v>
      </c>
      <c r="K107" s="2" t="str">
        <f t="shared" si="13"/>
        <v>High Confidence</v>
      </c>
      <c r="L107" s="4" t="s">
        <v>30</v>
      </c>
      <c r="M107" s="2" t="str">
        <f t="shared" si="7"/>
        <v>AI Generated</v>
      </c>
      <c r="N107" s="4">
        <v>9.1999999999999998E-2</v>
      </c>
      <c r="O107" s="4" t="s">
        <v>23</v>
      </c>
      <c r="P107" s="4">
        <v>1804765</v>
      </c>
      <c r="Q107" s="2" t="str">
        <f t="shared" si="14"/>
        <v>Medium</v>
      </c>
      <c r="R107" s="4">
        <v>12623489</v>
      </c>
      <c r="S107" s="2" t="str">
        <f t="shared" si="10"/>
        <v>Highly Viral</v>
      </c>
      <c r="T107" s="4" t="s">
        <v>24</v>
      </c>
      <c r="U107" s="6" t="s">
        <v>48</v>
      </c>
    </row>
    <row r="108" spans="1:21" x14ac:dyDescent="0.3">
      <c r="A108" s="2" t="s">
        <v>168</v>
      </c>
      <c r="B108" s="8">
        <v>45524</v>
      </c>
      <c r="C108" s="2" t="s">
        <v>39</v>
      </c>
      <c r="D108" s="2" t="s">
        <v>50</v>
      </c>
      <c r="E108" s="2" t="s">
        <v>51</v>
      </c>
      <c r="F108" s="2" t="s">
        <v>52</v>
      </c>
      <c r="G108" s="2" t="s">
        <v>42</v>
      </c>
      <c r="H108" s="13">
        <v>32.4</v>
      </c>
      <c r="I108" s="2" t="str">
        <f t="shared" si="5"/>
        <v>Moderate Risk</v>
      </c>
      <c r="J108" s="2">
        <v>96.1</v>
      </c>
      <c r="K108" s="2" t="str">
        <f t="shared" si="13"/>
        <v>High Confidence</v>
      </c>
      <c r="L108" s="2" t="s">
        <v>22</v>
      </c>
      <c r="M108" s="2" t="str">
        <f t="shared" si="7"/>
        <v>Human Content</v>
      </c>
      <c r="N108" s="2">
        <v>0.59599999999999997</v>
      </c>
      <c r="O108" s="2" t="s">
        <v>30</v>
      </c>
      <c r="P108" s="2">
        <v>1305198</v>
      </c>
      <c r="Q108" s="2" t="str">
        <f t="shared" si="14"/>
        <v>Medium</v>
      </c>
      <c r="R108" s="2">
        <v>5282299</v>
      </c>
      <c r="S108" s="2" t="str">
        <f t="shared" si="10"/>
        <v>Highly Viral</v>
      </c>
      <c r="T108" s="2" t="s">
        <v>44</v>
      </c>
      <c r="U108" s="3" t="s">
        <v>25</v>
      </c>
    </row>
    <row r="109" spans="1:21" x14ac:dyDescent="0.3">
      <c r="A109" s="4" t="s">
        <v>169</v>
      </c>
      <c r="B109" s="9">
        <v>45317</v>
      </c>
      <c r="C109" s="4" t="s">
        <v>17</v>
      </c>
      <c r="D109" s="4" t="s">
        <v>40</v>
      </c>
      <c r="E109" s="4" t="s">
        <v>71</v>
      </c>
      <c r="F109" s="4" t="s">
        <v>36</v>
      </c>
      <c r="G109" s="4" t="s">
        <v>37</v>
      </c>
      <c r="H109" s="14">
        <v>48.6</v>
      </c>
      <c r="I109" s="2" t="str">
        <f t="shared" si="5"/>
        <v>Moderate Risk</v>
      </c>
      <c r="J109" s="4">
        <v>71.7</v>
      </c>
      <c r="K109" s="2" t="str">
        <f t="shared" si="13"/>
        <v>High Confidence</v>
      </c>
      <c r="L109" s="4" t="s">
        <v>43</v>
      </c>
      <c r="M109" s="2" t="str">
        <f t="shared" si="7"/>
        <v>Human Content</v>
      </c>
      <c r="N109" s="4">
        <v>0.27300000000000002</v>
      </c>
      <c r="O109" s="4" t="s">
        <v>23</v>
      </c>
      <c r="P109" s="4">
        <v>954870</v>
      </c>
      <c r="Q109" s="2" t="str">
        <f t="shared" si="14"/>
        <v>Low</v>
      </c>
      <c r="R109" s="4">
        <v>11582579</v>
      </c>
      <c r="S109" s="2" t="str">
        <f t="shared" si="10"/>
        <v>Highly Viral</v>
      </c>
      <c r="T109" s="4" t="s">
        <v>24</v>
      </c>
      <c r="U109" s="5" t="s">
        <v>32</v>
      </c>
    </row>
    <row r="110" spans="1:21" x14ac:dyDescent="0.3">
      <c r="A110" s="2" t="s">
        <v>170</v>
      </c>
      <c r="B110" s="8">
        <v>45348</v>
      </c>
      <c r="C110" s="2" t="s">
        <v>34</v>
      </c>
      <c r="D110" s="2" t="s">
        <v>60</v>
      </c>
      <c r="E110" s="2" t="s">
        <v>71</v>
      </c>
      <c r="F110" s="2" t="s">
        <v>58</v>
      </c>
      <c r="G110" s="2" t="s">
        <v>42</v>
      </c>
      <c r="H110" s="13">
        <v>30.8</v>
      </c>
      <c r="I110" s="2" t="str">
        <f t="shared" si="5"/>
        <v>Moderate Risk</v>
      </c>
      <c r="J110" s="2">
        <v>60.8</v>
      </c>
      <c r="K110" s="2" t="str">
        <f t="shared" si="13"/>
        <v>Moderate Confidence</v>
      </c>
      <c r="L110" s="2" t="s">
        <v>22</v>
      </c>
      <c r="M110" s="2" t="str">
        <f t="shared" si="7"/>
        <v>Human Content</v>
      </c>
      <c r="N110" s="2">
        <v>0.98399999999999999</v>
      </c>
      <c r="O110" s="2" t="s">
        <v>30</v>
      </c>
      <c r="P110" s="2">
        <v>64583</v>
      </c>
      <c r="Q110" s="2" t="str">
        <f t="shared" si="14"/>
        <v>Low</v>
      </c>
      <c r="R110" s="2">
        <v>6859801</v>
      </c>
      <c r="S110" s="2" t="str">
        <f t="shared" si="10"/>
        <v>Highly Viral</v>
      </c>
      <c r="T110" s="2" t="s">
        <v>56</v>
      </c>
      <c r="U110" s="3" t="s">
        <v>25</v>
      </c>
    </row>
    <row r="111" spans="1:21" x14ac:dyDescent="0.3">
      <c r="A111" s="4" t="s">
        <v>171</v>
      </c>
      <c r="B111" s="9">
        <v>45400</v>
      </c>
      <c r="C111" s="4" t="s">
        <v>69</v>
      </c>
      <c r="D111" s="4" t="s">
        <v>40</v>
      </c>
      <c r="E111" s="4" t="s">
        <v>19</v>
      </c>
      <c r="F111" s="4" t="s">
        <v>52</v>
      </c>
      <c r="G111" s="4" t="s">
        <v>67</v>
      </c>
      <c r="H111" s="14">
        <v>0.8</v>
      </c>
      <c r="I111" s="2" t="str">
        <f t="shared" si="5"/>
        <v>Moderate Risk</v>
      </c>
      <c r="J111" s="4">
        <v>86.6</v>
      </c>
      <c r="K111" s="2" t="str">
        <f t="shared" si="13"/>
        <v>High Confidence</v>
      </c>
      <c r="L111" s="4" t="s">
        <v>22</v>
      </c>
      <c r="M111" s="2" t="str">
        <f t="shared" si="7"/>
        <v>Human Content</v>
      </c>
      <c r="N111" s="4">
        <v>0.17599999999999999</v>
      </c>
      <c r="O111" s="4" t="s">
        <v>22</v>
      </c>
      <c r="P111" s="4">
        <v>4467724</v>
      </c>
      <c r="Q111" s="2" t="str">
        <f t="shared" si="14"/>
        <v>High</v>
      </c>
      <c r="R111" s="4">
        <v>7721734</v>
      </c>
      <c r="S111" s="2" t="str">
        <f t="shared" si="10"/>
        <v>Highly Viral</v>
      </c>
      <c r="T111" s="4" t="s">
        <v>44</v>
      </c>
      <c r="U111" s="3" t="s">
        <v>25</v>
      </c>
    </row>
    <row r="112" spans="1:21" x14ac:dyDescent="0.3">
      <c r="A112" s="2" t="s">
        <v>172</v>
      </c>
      <c r="B112" s="8">
        <v>45578</v>
      </c>
      <c r="C112" s="2" t="s">
        <v>39</v>
      </c>
      <c r="D112" s="2" t="s">
        <v>18</v>
      </c>
      <c r="E112" s="2" t="s">
        <v>88</v>
      </c>
      <c r="F112" s="2" t="s">
        <v>36</v>
      </c>
      <c r="G112" s="2" t="s">
        <v>67</v>
      </c>
      <c r="H112" s="13">
        <v>43.6</v>
      </c>
      <c r="I112" s="2" t="str">
        <f t="shared" si="5"/>
        <v>Moderate Risk</v>
      </c>
      <c r="J112" s="2">
        <v>72.5</v>
      </c>
      <c r="K112" s="2" t="str">
        <f t="shared" si="13"/>
        <v>High Confidence</v>
      </c>
      <c r="L112" s="2" t="s">
        <v>43</v>
      </c>
      <c r="M112" s="2" t="str">
        <f t="shared" si="7"/>
        <v>Human Content</v>
      </c>
      <c r="N112" s="2">
        <v>7.8E-2</v>
      </c>
      <c r="O112" s="2" t="s">
        <v>22</v>
      </c>
      <c r="P112" s="2">
        <v>4829917</v>
      </c>
      <c r="Q112" s="2" t="str">
        <f t="shared" si="14"/>
        <v>High</v>
      </c>
      <c r="R112" s="2">
        <v>14404890</v>
      </c>
      <c r="S112" s="2" t="str">
        <f t="shared" si="10"/>
        <v>Highly Viral</v>
      </c>
      <c r="T112" s="2" t="s">
        <v>44</v>
      </c>
      <c r="U112" s="5" t="s">
        <v>32</v>
      </c>
    </row>
    <row r="113" spans="1:21" x14ac:dyDescent="0.3">
      <c r="A113" s="4" t="s">
        <v>173</v>
      </c>
      <c r="B113" s="9">
        <v>45499</v>
      </c>
      <c r="C113" s="4" t="s">
        <v>78</v>
      </c>
      <c r="D113" s="4" t="s">
        <v>40</v>
      </c>
      <c r="E113" s="4" t="s">
        <v>73</v>
      </c>
      <c r="F113" s="4" t="s">
        <v>76</v>
      </c>
      <c r="G113" s="4" t="s">
        <v>67</v>
      </c>
      <c r="H113" s="14">
        <v>96.6</v>
      </c>
      <c r="I113" s="2" t="str">
        <f t="shared" si="5"/>
        <v>High Risk</v>
      </c>
      <c r="J113" s="4">
        <v>58.4</v>
      </c>
      <c r="K113" s="2" t="str">
        <f t="shared" si="13"/>
        <v>Moderate Confidence</v>
      </c>
      <c r="L113" s="4" t="s">
        <v>30</v>
      </c>
      <c r="M113" s="2" t="str">
        <f t="shared" si="7"/>
        <v>AI Generated</v>
      </c>
      <c r="N113" s="4">
        <v>0.94799999999999995</v>
      </c>
      <c r="O113" s="4" t="s">
        <v>22</v>
      </c>
      <c r="P113" s="4">
        <v>3035540</v>
      </c>
      <c r="Q113" s="2" t="str">
        <f t="shared" si="14"/>
        <v>Medium</v>
      </c>
      <c r="R113" s="4">
        <v>2957648</v>
      </c>
      <c r="S113" s="2" t="str">
        <f t="shared" si="10"/>
        <v>Moderately Viral</v>
      </c>
      <c r="T113" s="4" t="s">
        <v>24</v>
      </c>
      <c r="U113" s="6" t="s">
        <v>48</v>
      </c>
    </row>
    <row r="114" spans="1:21" x14ac:dyDescent="0.3">
      <c r="A114" s="2" t="s">
        <v>174</v>
      </c>
      <c r="B114" s="8">
        <v>45346</v>
      </c>
      <c r="C114" s="2" t="s">
        <v>46</v>
      </c>
      <c r="D114" s="2" t="s">
        <v>55</v>
      </c>
      <c r="E114" s="2" t="s">
        <v>88</v>
      </c>
      <c r="F114" s="2" t="s">
        <v>58</v>
      </c>
      <c r="G114" s="2" t="s">
        <v>67</v>
      </c>
      <c r="H114" s="13">
        <v>39.6</v>
      </c>
      <c r="I114" s="2" t="str">
        <f t="shared" si="5"/>
        <v>Moderate Risk</v>
      </c>
      <c r="J114" s="2">
        <v>65.2</v>
      </c>
      <c r="K114" s="2" t="str">
        <f t="shared" si="13"/>
        <v>Moderate Confidence</v>
      </c>
      <c r="L114" s="2" t="s">
        <v>43</v>
      </c>
      <c r="M114" s="2" t="str">
        <f t="shared" si="7"/>
        <v>Human Content</v>
      </c>
      <c r="N114" s="2">
        <v>0.34</v>
      </c>
      <c r="O114" s="2" t="s">
        <v>22</v>
      </c>
      <c r="P114" s="2">
        <v>1410499</v>
      </c>
      <c r="Q114" s="2" t="str">
        <f t="shared" si="14"/>
        <v>Medium</v>
      </c>
      <c r="R114" s="2">
        <v>2563366</v>
      </c>
      <c r="S114" s="2" t="str">
        <f t="shared" si="10"/>
        <v>Moderately Viral</v>
      </c>
      <c r="T114" s="2" t="s">
        <v>44</v>
      </c>
      <c r="U114" s="5" t="s">
        <v>32</v>
      </c>
    </row>
    <row r="115" spans="1:21" x14ac:dyDescent="0.3">
      <c r="A115" s="4" t="s">
        <v>175</v>
      </c>
      <c r="B115" s="9">
        <v>45616</v>
      </c>
      <c r="C115" s="4" t="s">
        <v>17</v>
      </c>
      <c r="D115" s="4" t="s">
        <v>60</v>
      </c>
      <c r="E115" s="4" t="s">
        <v>28</v>
      </c>
      <c r="F115" s="4" t="s">
        <v>52</v>
      </c>
      <c r="G115" s="4" t="s">
        <v>64</v>
      </c>
      <c r="H115" s="14">
        <v>72.7</v>
      </c>
      <c r="I115" s="2" t="str">
        <f t="shared" si="5"/>
        <v>High Risk</v>
      </c>
      <c r="J115" s="4">
        <v>90.1</v>
      </c>
      <c r="K115" s="2" t="str">
        <f t="shared" si="13"/>
        <v>High Confidence</v>
      </c>
      <c r="L115" s="4" t="s">
        <v>30</v>
      </c>
      <c r="M115" s="2" t="str">
        <f t="shared" si="7"/>
        <v>AI Generated</v>
      </c>
      <c r="N115" s="4">
        <v>0.81499999999999995</v>
      </c>
      <c r="O115" s="4" t="s">
        <v>30</v>
      </c>
      <c r="P115" s="4">
        <v>862486</v>
      </c>
      <c r="Q115" s="2" t="str">
        <f t="shared" si="14"/>
        <v>Low</v>
      </c>
      <c r="R115" s="4">
        <v>4914352</v>
      </c>
      <c r="S115" s="2" t="str">
        <f t="shared" si="10"/>
        <v>Moderately Viral</v>
      </c>
      <c r="T115" s="4" t="s">
        <v>56</v>
      </c>
      <c r="U115" s="6" t="s">
        <v>48</v>
      </c>
    </row>
    <row r="116" spans="1:21" x14ac:dyDescent="0.3">
      <c r="A116" s="2" t="s">
        <v>176</v>
      </c>
      <c r="B116" s="8">
        <v>45393</v>
      </c>
      <c r="C116" s="2" t="s">
        <v>69</v>
      </c>
      <c r="D116" s="2" t="s">
        <v>60</v>
      </c>
      <c r="E116" s="2" t="s">
        <v>35</v>
      </c>
      <c r="F116" s="2" t="s">
        <v>36</v>
      </c>
      <c r="G116" s="2" t="s">
        <v>67</v>
      </c>
      <c r="H116" s="13">
        <v>17.7</v>
      </c>
      <c r="I116" s="2" t="str">
        <f t="shared" si="5"/>
        <v>Moderate Risk</v>
      </c>
      <c r="J116" s="2">
        <v>87.9</v>
      </c>
      <c r="K116" s="2" t="str">
        <f t="shared" si="13"/>
        <v>High Confidence</v>
      </c>
      <c r="L116" s="2" t="s">
        <v>22</v>
      </c>
      <c r="M116" s="2" t="str">
        <f t="shared" si="7"/>
        <v>Human Content</v>
      </c>
      <c r="N116" s="2">
        <v>0.49399999999999999</v>
      </c>
      <c r="O116" s="2" t="s">
        <v>23</v>
      </c>
      <c r="P116" s="2">
        <v>4861030</v>
      </c>
      <c r="Q116" s="2" t="str">
        <f t="shared" si="14"/>
        <v>High</v>
      </c>
      <c r="R116" s="2">
        <v>15063260</v>
      </c>
      <c r="S116" s="2" t="str">
        <f t="shared" si="10"/>
        <v>Highly Viral</v>
      </c>
      <c r="T116" s="2" t="s">
        <v>44</v>
      </c>
      <c r="U116" s="3" t="s">
        <v>25</v>
      </c>
    </row>
    <row r="117" spans="1:21" x14ac:dyDescent="0.3">
      <c r="A117" s="4" t="s">
        <v>177</v>
      </c>
      <c r="B117" s="9">
        <v>45621</v>
      </c>
      <c r="C117" s="4" t="s">
        <v>39</v>
      </c>
      <c r="D117" s="4" t="s">
        <v>40</v>
      </c>
      <c r="E117" s="4" t="s">
        <v>35</v>
      </c>
      <c r="F117" s="4" t="s">
        <v>76</v>
      </c>
      <c r="G117" s="4" t="s">
        <v>67</v>
      </c>
      <c r="H117" s="14">
        <v>46.9</v>
      </c>
      <c r="I117" s="2" t="str">
        <f t="shared" si="5"/>
        <v>Moderate Risk</v>
      </c>
      <c r="J117" s="4">
        <v>80.900000000000006</v>
      </c>
      <c r="K117" s="2" t="str">
        <f t="shared" si="13"/>
        <v>High Confidence</v>
      </c>
      <c r="L117" s="4" t="s">
        <v>43</v>
      </c>
      <c r="M117" s="2" t="str">
        <f t="shared" si="7"/>
        <v>Human Content</v>
      </c>
      <c r="N117" s="4">
        <v>0.79600000000000004</v>
      </c>
      <c r="O117" s="4" t="s">
        <v>23</v>
      </c>
      <c r="P117" s="4">
        <v>471305</v>
      </c>
      <c r="Q117" s="2" t="str">
        <f t="shared" si="14"/>
        <v>Low</v>
      </c>
      <c r="R117" s="4">
        <v>11809721</v>
      </c>
      <c r="S117" s="2" t="str">
        <f t="shared" si="10"/>
        <v>Highly Viral</v>
      </c>
      <c r="T117" s="4" t="s">
        <v>44</v>
      </c>
      <c r="U117" s="5" t="s">
        <v>32</v>
      </c>
    </row>
    <row r="118" spans="1:21" x14ac:dyDescent="0.3">
      <c r="A118" s="2" t="s">
        <v>178</v>
      </c>
      <c r="B118" s="8">
        <v>45329</v>
      </c>
      <c r="C118" s="2" t="s">
        <v>34</v>
      </c>
      <c r="D118" s="2" t="s">
        <v>55</v>
      </c>
      <c r="E118" s="2" t="s">
        <v>71</v>
      </c>
      <c r="F118" s="2" t="s">
        <v>41</v>
      </c>
      <c r="G118" s="2" t="s">
        <v>67</v>
      </c>
      <c r="H118" s="13">
        <v>36.9</v>
      </c>
      <c r="I118" s="2" t="str">
        <f t="shared" si="5"/>
        <v>Moderate Risk</v>
      </c>
      <c r="J118" s="2">
        <v>64.099999999999994</v>
      </c>
      <c r="K118" s="2" t="str">
        <f t="shared" si="13"/>
        <v>Moderate Confidence</v>
      </c>
      <c r="L118" s="2" t="s">
        <v>43</v>
      </c>
      <c r="M118" s="2" t="str">
        <f t="shared" si="7"/>
        <v>Human Content</v>
      </c>
      <c r="N118" s="2">
        <v>0.64500000000000002</v>
      </c>
      <c r="O118" s="2" t="s">
        <v>30</v>
      </c>
      <c r="P118" s="2">
        <v>4983602</v>
      </c>
      <c r="Q118" s="2" t="str">
        <f t="shared" si="14"/>
        <v>High</v>
      </c>
      <c r="R118" s="2">
        <v>17014872</v>
      </c>
      <c r="S118" s="2" t="str">
        <f t="shared" si="10"/>
        <v>Highly Viral</v>
      </c>
      <c r="T118" s="2" t="s">
        <v>24</v>
      </c>
      <c r="U118" s="5" t="s">
        <v>32</v>
      </c>
    </row>
    <row r="119" spans="1:21" x14ac:dyDescent="0.3">
      <c r="A119" s="4" t="s">
        <v>179</v>
      </c>
      <c r="B119" s="9">
        <v>45528</v>
      </c>
      <c r="C119" s="4" t="s">
        <v>27</v>
      </c>
      <c r="D119" s="4" t="s">
        <v>55</v>
      </c>
      <c r="E119" s="4" t="s">
        <v>28</v>
      </c>
      <c r="F119" s="4" t="s">
        <v>52</v>
      </c>
      <c r="G119" s="4" t="s">
        <v>29</v>
      </c>
      <c r="H119" s="14">
        <v>47.6</v>
      </c>
      <c r="I119" s="2" t="str">
        <f t="shared" si="5"/>
        <v>Moderate Risk</v>
      </c>
      <c r="J119" s="4">
        <v>57.4</v>
      </c>
      <c r="K119" s="2" t="str">
        <f t="shared" si="13"/>
        <v>Moderate Confidence</v>
      </c>
      <c r="L119" s="4" t="s">
        <v>43</v>
      </c>
      <c r="M119" s="2" t="str">
        <f t="shared" si="7"/>
        <v>Human Content</v>
      </c>
      <c r="N119" s="4">
        <v>6.2E-2</v>
      </c>
      <c r="O119" s="4" t="s">
        <v>30</v>
      </c>
      <c r="P119" s="4">
        <v>2881064</v>
      </c>
      <c r="Q119" s="2" t="str">
        <f t="shared" si="14"/>
        <v>Medium</v>
      </c>
      <c r="R119" s="4">
        <v>2830116</v>
      </c>
      <c r="S119" s="2" t="str">
        <f t="shared" si="10"/>
        <v>Moderately Viral</v>
      </c>
      <c r="T119" s="4" t="s">
        <v>44</v>
      </c>
      <c r="U119" s="5" t="s">
        <v>32</v>
      </c>
    </row>
    <row r="120" spans="1:21" x14ac:dyDescent="0.3">
      <c r="A120" s="2" t="s">
        <v>180</v>
      </c>
      <c r="B120" s="8">
        <v>45622</v>
      </c>
      <c r="C120" s="2" t="s">
        <v>69</v>
      </c>
      <c r="D120" s="2" t="s">
        <v>18</v>
      </c>
      <c r="E120" s="2" t="s">
        <v>28</v>
      </c>
      <c r="F120" s="2" t="s">
        <v>36</v>
      </c>
      <c r="G120" s="2" t="s">
        <v>37</v>
      </c>
      <c r="H120" s="13">
        <v>99.1</v>
      </c>
      <c r="I120" s="2" t="str">
        <f t="shared" si="5"/>
        <v>High Risk</v>
      </c>
      <c r="J120" s="2">
        <v>75.7</v>
      </c>
      <c r="K120" s="2" t="str">
        <f t="shared" si="13"/>
        <v>High Confidence</v>
      </c>
      <c r="L120" s="2" t="s">
        <v>30</v>
      </c>
      <c r="M120" s="2" t="str">
        <f t="shared" si="7"/>
        <v>AI Generated</v>
      </c>
      <c r="N120" s="2">
        <v>0.61</v>
      </c>
      <c r="O120" s="2" t="s">
        <v>22</v>
      </c>
      <c r="P120" s="2">
        <v>3127809</v>
      </c>
      <c r="Q120" s="2" t="str">
        <f t="shared" si="14"/>
        <v>Medium</v>
      </c>
      <c r="R120" s="2">
        <v>9492833</v>
      </c>
      <c r="S120" s="2" t="str">
        <f t="shared" si="10"/>
        <v>Highly Viral</v>
      </c>
      <c r="T120" s="2" t="s">
        <v>24</v>
      </c>
      <c r="U120" s="6" t="s">
        <v>48</v>
      </c>
    </row>
    <row r="121" spans="1:21" x14ac:dyDescent="0.3">
      <c r="A121" s="4" t="s">
        <v>181</v>
      </c>
      <c r="B121" s="9">
        <v>45501</v>
      </c>
      <c r="C121" s="4" t="s">
        <v>39</v>
      </c>
      <c r="D121" s="4" t="s">
        <v>60</v>
      </c>
      <c r="E121" s="4" t="s">
        <v>47</v>
      </c>
      <c r="F121" s="4" t="s">
        <v>36</v>
      </c>
      <c r="G121" s="4" t="s">
        <v>42</v>
      </c>
      <c r="H121" s="14">
        <v>33.5</v>
      </c>
      <c r="I121" s="2" t="str">
        <f t="shared" si="5"/>
        <v>Moderate Risk</v>
      </c>
      <c r="J121" s="4">
        <v>66.2</v>
      </c>
      <c r="K121" s="2" t="str">
        <f t="shared" si="13"/>
        <v>Moderate Confidence</v>
      </c>
      <c r="L121" s="4" t="s">
        <v>22</v>
      </c>
      <c r="M121" s="2" t="str">
        <f t="shared" si="7"/>
        <v>Human Content</v>
      </c>
      <c r="N121" s="4">
        <v>0.55800000000000005</v>
      </c>
      <c r="O121" s="4" t="s">
        <v>22</v>
      </c>
      <c r="P121" s="4">
        <v>2383697</v>
      </c>
      <c r="Q121" s="2" t="str">
        <f>IF(P121&gt;4000000,"High",IF(P121&gt;1000000,"Medium",IF(P121&lt;1000000,"Low")))</f>
        <v>Medium</v>
      </c>
      <c r="R121" s="4">
        <v>8456075</v>
      </c>
      <c r="S121" s="2" t="str">
        <f t="shared" si="10"/>
        <v>Highly Viral</v>
      </c>
      <c r="T121" s="4" t="s">
        <v>44</v>
      </c>
      <c r="U121" s="3" t="s">
        <v>25</v>
      </c>
    </row>
    <row r="122" spans="1:21" x14ac:dyDescent="0.3">
      <c r="A122" s="2" t="s">
        <v>182</v>
      </c>
      <c r="B122" s="8">
        <v>45368</v>
      </c>
      <c r="C122" s="2" t="s">
        <v>39</v>
      </c>
      <c r="D122" s="2" t="s">
        <v>18</v>
      </c>
      <c r="E122" s="2" t="s">
        <v>35</v>
      </c>
      <c r="F122" s="2" t="s">
        <v>52</v>
      </c>
      <c r="G122" s="2" t="s">
        <v>64</v>
      </c>
      <c r="H122" s="13">
        <v>96.8</v>
      </c>
      <c r="I122" s="2" t="str">
        <f t="shared" si="5"/>
        <v>High Risk</v>
      </c>
      <c r="J122" s="2">
        <v>84.2</v>
      </c>
      <c r="K122" s="2" t="str">
        <f t="shared" si="13"/>
        <v>High Confidence</v>
      </c>
      <c r="L122" s="2" t="s">
        <v>30</v>
      </c>
      <c r="M122" s="2" t="str">
        <f t="shared" si="7"/>
        <v>AI Generated</v>
      </c>
      <c r="N122" s="2">
        <v>0.39200000000000002</v>
      </c>
      <c r="O122" s="2" t="s">
        <v>23</v>
      </c>
      <c r="P122" s="2">
        <v>710774</v>
      </c>
      <c r="Q122" s="2" t="str">
        <f t="shared" si="14"/>
        <v>Low</v>
      </c>
      <c r="R122" s="2">
        <v>10388344</v>
      </c>
      <c r="S122" s="2" t="str">
        <f t="shared" si="10"/>
        <v>Highly Viral</v>
      </c>
      <c r="T122" s="2" t="s">
        <v>44</v>
      </c>
      <c r="U122" s="6" t="s">
        <v>48</v>
      </c>
    </row>
    <row r="123" spans="1:21" x14ac:dyDescent="0.3">
      <c r="A123" s="4" t="s">
        <v>183</v>
      </c>
      <c r="B123" s="9">
        <v>45484</v>
      </c>
      <c r="C123" s="4" t="s">
        <v>39</v>
      </c>
      <c r="D123" s="4" t="s">
        <v>50</v>
      </c>
      <c r="E123" s="4" t="s">
        <v>73</v>
      </c>
      <c r="F123" s="4" t="s">
        <v>36</v>
      </c>
      <c r="G123" s="4" t="s">
        <v>42</v>
      </c>
      <c r="H123" s="14">
        <v>42.3</v>
      </c>
      <c r="I123" s="2" t="str">
        <f t="shared" si="5"/>
        <v>Moderate Risk</v>
      </c>
      <c r="J123" s="4">
        <v>67.7</v>
      </c>
      <c r="K123" s="2" t="str">
        <f t="shared" si="13"/>
        <v>Moderate Confidence</v>
      </c>
      <c r="L123" s="4" t="s">
        <v>43</v>
      </c>
      <c r="M123" s="2" t="str">
        <f t="shared" si="7"/>
        <v>Human Content</v>
      </c>
      <c r="N123" s="4">
        <v>0.36299999999999999</v>
      </c>
      <c r="O123" s="4" t="s">
        <v>30</v>
      </c>
      <c r="P123" s="4">
        <v>1796878</v>
      </c>
      <c r="Q123" s="2" t="str">
        <f t="shared" si="14"/>
        <v>Medium</v>
      </c>
      <c r="R123" s="4">
        <v>11467134</v>
      </c>
      <c r="S123" s="2" t="str">
        <f t="shared" si="10"/>
        <v>Highly Viral</v>
      </c>
      <c r="T123" s="4" t="s">
        <v>24</v>
      </c>
      <c r="U123" s="5" t="s">
        <v>32</v>
      </c>
    </row>
    <row r="124" spans="1:21" x14ac:dyDescent="0.3">
      <c r="A124" s="2" t="s">
        <v>184</v>
      </c>
      <c r="B124" s="8">
        <v>45390</v>
      </c>
      <c r="C124" s="2" t="s">
        <v>46</v>
      </c>
      <c r="D124" s="2" t="s">
        <v>50</v>
      </c>
      <c r="E124" s="2" t="s">
        <v>35</v>
      </c>
      <c r="F124" s="2" t="s">
        <v>41</v>
      </c>
      <c r="G124" s="2" t="s">
        <v>64</v>
      </c>
      <c r="H124" s="13">
        <v>84.4</v>
      </c>
      <c r="I124" s="2" t="str">
        <f t="shared" si="5"/>
        <v>High Risk</v>
      </c>
      <c r="J124" s="2">
        <v>55</v>
      </c>
      <c r="K124" s="2" t="str">
        <f t="shared" si="13"/>
        <v>Moderate Confidence</v>
      </c>
      <c r="L124" s="2" t="s">
        <v>30</v>
      </c>
      <c r="M124" s="2" t="str">
        <f t="shared" si="7"/>
        <v>AI Generated</v>
      </c>
      <c r="N124" s="2">
        <v>0.77100000000000002</v>
      </c>
      <c r="O124" s="2" t="s">
        <v>23</v>
      </c>
      <c r="P124" s="2">
        <v>4416967</v>
      </c>
      <c r="Q124" s="2" t="str">
        <f t="shared" si="14"/>
        <v>High</v>
      </c>
      <c r="R124" s="2">
        <v>1267095</v>
      </c>
      <c r="S124" s="2" t="str">
        <f t="shared" si="10"/>
        <v>Moderately Viral</v>
      </c>
      <c r="T124" s="2" t="s">
        <v>56</v>
      </c>
      <c r="U124" s="6" t="s">
        <v>48</v>
      </c>
    </row>
    <row r="125" spans="1:21" x14ac:dyDescent="0.3">
      <c r="A125" s="4" t="s">
        <v>185</v>
      </c>
      <c r="B125" s="9">
        <v>45608</v>
      </c>
      <c r="C125" s="4" t="s">
        <v>69</v>
      </c>
      <c r="D125" s="4" t="s">
        <v>60</v>
      </c>
      <c r="E125" s="4" t="s">
        <v>88</v>
      </c>
      <c r="F125" s="4" t="s">
        <v>20</v>
      </c>
      <c r="G125" s="4" t="s">
        <v>21</v>
      </c>
      <c r="H125" s="14">
        <v>18.100000000000001</v>
      </c>
      <c r="I125" s="2" t="str">
        <f t="shared" si="5"/>
        <v>Moderate Risk</v>
      </c>
      <c r="J125" s="4">
        <v>83.9</v>
      </c>
      <c r="K125" s="2" t="str">
        <f t="shared" si="13"/>
        <v>High Confidence</v>
      </c>
      <c r="L125" s="4" t="s">
        <v>22</v>
      </c>
      <c r="M125" s="2" t="str">
        <f t="shared" si="7"/>
        <v>Human Content</v>
      </c>
      <c r="N125" s="4">
        <v>0.625</v>
      </c>
      <c r="O125" s="4" t="s">
        <v>30</v>
      </c>
      <c r="P125" s="4">
        <v>3671570</v>
      </c>
      <c r="Q125" s="2" t="str">
        <f t="shared" si="14"/>
        <v>Medium</v>
      </c>
      <c r="R125" s="4">
        <v>1466574</v>
      </c>
      <c r="S125" s="2" t="str">
        <f t="shared" si="10"/>
        <v>Moderately Viral</v>
      </c>
      <c r="T125" s="4" t="s">
        <v>24</v>
      </c>
      <c r="U125" s="3" t="s">
        <v>25</v>
      </c>
    </row>
    <row r="126" spans="1:21" x14ac:dyDescent="0.3">
      <c r="A126" s="2" t="s">
        <v>186</v>
      </c>
      <c r="B126" s="8">
        <v>45478</v>
      </c>
      <c r="C126" s="2" t="s">
        <v>46</v>
      </c>
      <c r="D126" s="2" t="s">
        <v>55</v>
      </c>
      <c r="E126" s="2" t="s">
        <v>19</v>
      </c>
      <c r="F126" s="2" t="s">
        <v>36</v>
      </c>
      <c r="G126" s="2" t="s">
        <v>74</v>
      </c>
      <c r="H126" s="13">
        <v>44.9</v>
      </c>
      <c r="I126" s="2" t="str">
        <f t="shared" si="5"/>
        <v>Moderate Risk</v>
      </c>
      <c r="J126" s="2">
        <v>76.2</v>
      </c>
      <c r="K126" s="2" t="str">
        <f t="shared" si="13"/>
        <v>High Confidence</v>
      </c>
      <c r="L126" s="2" t="s">
        <v>43</v>
      </c>
      <c r="M126" s="2" t="str">
        <f t="shared" si="7"/>
        <v>Human Content</v>
      </c>
      <c r="N126" s="2">
        <v>0.309</v>
      </c>
      <c r="O126" s="2" t="s">
        <v>22</v>
      </c>
      <c r="P126" s="2">
        <v>1627625</v>
      </c>
      <c r="Q126" s="2" t="str">
        <f t="shared" si="14"/>
        <v>Medium</v>
      </c>
      <c r="R126" s="2">
        <v>12343194</v>
      </c>
      <c r="S126" s="2" t="str">
        <f t="shared" si="10"/>
        <v>Highly Viral</v>
      </c>
      <c r="T126" s="2" t="s">
        <v>44</v>
      </c>
      <c r="U126" s="5" t="s">
        <v>32</v>
      </c>
    </row>
    <row r="127" spans="1:21" x14ac:dyDescent="0.3">
      <c r="A127" s="4" t="s">
        <v>187</v>
      </c>
      <c r="B127" s="9">
        <v>45517</v>
      </c>
      <c r="C127" s="4" t="s">
        <v>54</v>
      </c>
      <c r="D127" s="4" t="s">
        <v>40</v>
      </c>
      <c r="E127" s="4" t="s">
        <v>88</v>
      </c>
      <c r="F127" s="4" t="s">
        <v>58</v>
      </c>
      <c r="G127" s="4" t="s">
        <v>29</v>
      </c>
      <c r="H127" s="14">
        <v>41.9</v>
      </c>
      <c r="I127" s="2" t="str">
        <f t="shared" si="5"/>
        <v>Moderate Risk</v>
      </c>
      <c r="J127" s="4">
        <v>57.9</v>
      </c>
      <c r="K127" s="2" t="str">
        <f t="shared" si="13"/>
        <v>Moderate Confidence</v>
      </c>
      <c r="L127" s="4" t="s">
        <v>43</v>
      </c>
      <c r="M127" s="2" t="str">
        <f t="shared" si="7"/>
        <v>Human Content</v>
      </c>
      <c r="N127" s="4">
        <v>0.2</v>
      </c>
      <c r="O127" s="4" t="s">
        <v>23</v>
      </c>
      <c r="P127" s="4">
        <v>1161071</v>
      </c>
      <c r="Q127" s="2" t="str">
        <f t="shared" si="14"/>
        <v>Medium</v>
      </c>
      <c r="R127" s="4">
        <v>8389215</v>
      </c>
      <c r="S127" s="2" t="str">
        <f t="shared" si="10"/>
        <v>Highly Viral</v>
      </c>
      <c r="T127" s="4" t="s">
        <v>61</v>
      </c>
      <c r="U127" s="5" t="s">
        <v>32</v>
      </c>
    </row>
    <row r="128" spans="1:21" x14ac:dyDescent="0.3">
      <c r="A128" s="2" t="s">
        <v>188</v>
      </c>
      <c r="B128" s="8">
        <v>45620</v>
      </c>
      <c r="C128" s="2" t="s">
        <v>54</v>
      </c>
      <c r="D128" s="2" t="s">
        <v>40</v>
      </c>
      <c r="E128" s="2" t="s">
        <v>73</v>
      </c>
      <c r="F128" s="2" t="s">
        <v>36</v>
      </c>
      <c r="G128" s="2" t="s">
        <v>74</v>
      </c>
      <c r="H128" s="13">
        <v>51.6</v>
      </c>
      <c r="I128" s="2" t="str">
        <f t="shared" si="5"/>
        <v>Moderate Risk</v>
      </c>
      <c r="J128" s="2">
        <v>56.1</v>
      </c>
      <c r="K128" s="2" t="str">
        <f t="shared" si="13"/>
        <v>Moderate Confidence</v>
      </c>
      <c r="L128" s="2" t="s">
        <v>43</v>
      </c>
      <c r="M128" s="2" t="str">
        <f t="shared" si="7"/>
        <v>Human Content</v>
      </c>
      <c r="N128" s="2">
        <v>8.4000000000000005E-2</v>
      </c>
      <c r="O128" s="2" t="s">
        <v>30</v>
      </c>
      <c r="P128" s="2">
        <v>2288439</v>
      </c>
      <c r="Q128" s="2" t="str">
        <f t="shared" si="14"/>
        <v>Medium</v>
      </c>
      <c r="R128" s="2">
        <v>15077151</v>
      </c>
      <c r="S128" s="2" t="str">
        <f t="shared" si="10"/>
        <v>Highly Viral</v>
      </c>
      <c r="T128" s="2" t="s">
        <v>44</v>
      </c>
      <c r="U128" s="5" t="s">
        <v>32</v>
      </c>
    </row>
    <row r="129" spans="1:21" x14ac:dyDescent="0.3">
      <c r="A129" s="4" t="s">
        <v>189</v>
      </c>
      <c r="B129" s="9">
        <v>45367</v>
      </c>
      <c r="C129" s="4" t="s">
        <v>78</v>
      </c>
      <c r="D129" s="4" t="s">
        <v>18</v>
      </c>
      <c r="E129" s="4" t="s">
        <v>28</v>
      </c>
      <c r="F129" s="4" t="s">
        <v>76</v>
      </c>
      <c r="G129" s="4" t="s">
        <v>64</v>
      </c>
      <c r="H129" s="14">
        <v>93</v>
      </c>
      <c r="I129" s="2" t="str">
        <f t="shared" si="5"/>
        <v>High Risk</v>
      </c>
      <c r="J129" s="4">
        <v>70.3</v>
      </c>
      <c r="K129" s="2" t="str">
        <f t="shared" si="13"/>
        <v>High Confidence</v>
      </c>
      <c r="L129" s="4" t="s">
        <v>30</v>
      </c>
      <c r="M129" s="2" t="str">
        <f t="shared" si="7"/>
        <v>AI Generated</v>
      </c>
      <c r="N129" s="4">
        <v>0.39600000000000002</v>
      </c>
      <c r="O129" s="4" t="s">
        <v>22</v>
      </c>
      <c r="P129" s="4">
        <v>1977949</v>
      </c>
      <c r="Q129" s="2" t="str">
        <f t="shared" si="14"/>
        <v>Medium</v>
      </c>
      <c r="R129" s="4">
        <v>12958084</v>
      </c>
      <c r="S129" s="2" t="str">
        <f t="shared" si="10"/>
        <v>Highly Viral</v>
      </c>
      <c r="T129" s="4" t="s">
        <v>61</v>
      </c>
      <c r="U129" s="6" t="s">
        <v>48</v>
      </c>
    </row>
    <row r="130" spans="1:21" x14ac:dyDescent="0.3">
      <c r="A130" s="2" t="s">
        <v>190</v>
      </c>
      <c r="B130" s="8">
        <v>45483</v>
      </c>
      <c r="C130" s="2" t="s">
        <v>46</v>
      </c>
      <c r="D130" s="2" t="s">
        <v>18</v>
      </c>
      <c r="E130" s="2" t="s">
        <v>51</v>
      </c>
      <c r="F130" s="2" t="s">
        <v>41</v>
      </c>
      <c r="G130" s="2" t="s">
        <v>74</v>
      </c>
      <c r="H130" s="13">
        <v>71.5</v>
      </c>
      <c r="I130" s="2" t="str">
        <f t="shared" si="5"/>
        <v>High Risk</v>
      </c>
      <c r="J130" s="2">
        <v>66.400000000000006</v>
      </c>
      <c r="K130" s="2" t="str">
        <f t="shared" si="13"/>
        <v>Moderate Confidence</v>
      </c>
      <c r="L130" s="2" t="s">
        <v>30</v>
      </c>
      <c r="M130" s="2" t="str">
        <f t="shared" si="7"/>
        <v>AI Generated</v>
      </c>
      <c r="N130" s="2">
        <v>0.14599999999999999</v>
      </c>
      <c r="O130" s="2" t="s">
        <v>30</v>
      </c>
      <c r="P130" s="2">
        <v>2406618</v>
      </c>
      <c r="Q130" s="2" t="str">
        <f t="shared" si="14"/>
        <v>Medium</v>
      </c>
      <c r="R130" s="2">
        <v>15853456</v>
      </c>
      <c r="S130" s="2" t="str">
        <f t="shared" si="10"/>
        <v>Highly Viral</v>
      </c>
      <c r="T130" s="2" t="s">
        <v>31</v>
      </c>
      <c r="U130" s="6" t="s">
        <v>48</v>
      </c>
    </row>
    <row r="131" spans="1:21" x14ac:dyDescent="0.3">
      <c r="A131" s="4" t="s">
        <v>191</v>
      </c>
      <c r="B131" s="9">
        <v>45653</v>
      </c>
      <c r="C131" s="4" t="s">
        <v>54</v>
      </c>
      <c r="D131" s="4" t="s">
        <v>55</v>
      </c>
      <c r="E131" s="4" t="s">
        <v>47</v>
      </c>
      <c r="F131" s="4" t="s">
        <v>41</v>
      </c>
      <c r="G131" s="4" t="s">
        <v>67</v>
      </c>
      <c r="H131" s="14">
        <v>25.6</v>
      </c>
      <c r="I131" s="2" t="str">
        <f t="shared" ref="I131:I194" si="15">IF(H131&gt;60,"High Risk",IF(H131&lt;60,"Moderate Risk"))</f>
        <v>Moderate Risk</v>
      </c>
      <c r="J131" s="4">
        <v>90.9</v>
      </c>
      <c r="K131" s="2" t="str">
        <f t="shared" si="13"/>
        <v>High Confidence</v>
      </c>
      <c r="L131" s="4" t="s">
        <v>22</v>
      </c>
      <c r="M131" s="2" t="str">
        <f t="shared" ref="M131:M194" si="16">IF(L131="Yes","AI Generated","Human Content")</f>
        <v>Human Content</v>
      </c>
      <c r="N131" s="4">
        <v>0.54900000000000004</v>
      </c>
      <c r="O131" s="4" t="s">
        <v>23</v>
      </c>
      <c r="P131" s="4">
        <v>4427368</v>
      </c>
      <c r="Q131" s="2" t="str">
        <f t="shared" si="14"/>
        <v>High</v>
      </c>
      <c r="R131" s="4">
        <v>14202573</v>
      </c>
      <c r="S131" s="2" t="str">
        <f t="shared" si="10"/>
        <v>Highly Viral</v>
      </c>
      <c r="T131" s="4" t="s">
        <v>61</v>
      </c>
      <c r="U131" s="3" t="s">
        <v>25</v>
      </c>
    </row>
    <row r="132" spans="1:21" x14ac:dyDescent="0.3">
      <c r="A132" s="2" t="s">
        <v>192</v>
      </c>
      <c r="B132" s="8">
        <v>45439</v>
      </c>
      <c r="C132" s="2" t="s">
        <v>46</v>
      </c>
      <c r="D132" s="2" t="s">
        <v>40</v>
      </c>
      <c r="E132" s="2" t="s">
        <v>73</v>
      </c>
      <c r="F132" s="2" t="s">
        <v>41</v>
      </c>
      <c r="G132" s="2" t="s">
        <v>21</v>
      </c>
      <c r="H132" s="13">
        <v>42</v>
      </c>
      <c r="I132" s="2" t="str">
        <f t="shared" si="15"/>
        <v>Moderate Risk</v>
      </c>
      <c r="J132" s="2">
        <v>88.9</v>
      </c>
      <c r="K132" s="2" t="str">
        <f t="shared" si="13"/>
        <v>High Confidence</v>
      </c>
      <c r="L132" s="2" t="s">
        <v>43</v>
      </c>
      <c r="M132" s="2" t="str">
        <f t="shared" si="16"/>
        <v>Human Content</v>
      </c>
      <c r="N132" s="2">
        <v>0.45700000000000002</v>
      </c>
      <c r="O132" s="2" t="s">
        <v>30</v>
      </c>
      <c r="P132" s="2">
        <v>4192971</v>
      </c>
      <c r="Q132" s="2" t="str">
        <f t="shared" si="14"/>
        <v>High</v>
      </c>
      <c r="R132" s="2">
        <v>17987480</v>
      </c>
      <c r="S132" s="2" t="str">
        <f t="shared" si="10"/>
        <v>Highly Viral</v>
      </c>
      <c r="T132" s="2" t="s">
        <v>61</v>
      </c>
      <c r="U132" s="5" t="s">
        <v>32</v>
      </c>
    </row>
    <row r="133" spans="1:21" x14ac:dyDescent="0.3">
      <c r="A133" s="4" t="s">
        <v>193</v>
      </c>
      <c r="B133" s="9">
        <v>45615</v>
      </c>
      <c r="C133" s="4" t="s">
        <v>46</v>
      </c>
      <c r="D133" s="4" t="s">
        <v>50</v>
      </c>
      <c r="E133" s="4" t="s">
        <v>19</v>
      </c>
      <c r="F133" s="4" t="s">
        <v>76</v>
      </c>
      <c r="G133" s="4" t="s">
        <v>67</v>
      </c>
      <c r="H133" s="14">
        <v>61.5</v>
      </c>
      <c r="I133" s="2" t="str">
        <f t="shared" si="15"/>
        <v>High Risk</v>
      </c>
      <c r="J133" s="4">
        <v>61.8</v>
      </c>
      <c r="K133" s="2" t="str">
        <f t="shared" si="13"/>
        <v>Moderate Confidence</v>
      </c>
      <c r="L133" s="4" t="s">
        <v>30</v>
      </c>
      <c r="M133" s="2" t="str">
        <f t="shared" si="16"/>
        <v>AI Generated</v>
      </c>
      <c r="N133" s="4">
        <v>0.41699999999999998</v>
      </c>
      <c r="O133" s="4" t="s">
        <v>23</v>
      </c>
      <c r="P133" s="4">
        <v>718281</v>
      </c>
      <c r="Q133" s="2" t="str">
        <f t="shared" si="14"/>
        <v>Low</v>
      </c>
      <c r="R133" s="4">
        <v>17565726</v>
      </c>
      <c r="S133" s="2" t="str">
        <f t="shared" ref="S133:S196" si="17">IF(R133&gt;5000000,"Highly Viral",IF(R133&gt;1000000,"Moderately Viral",IF(R133&lt;500000,"Low Viral")))</f>
        <v>Highly Viral</v>
      </c>
      <c r="T133" s="4" t="s">
        <v>56</v>
      </c>
      <c r="U133" s="5" t="s">
        <v>32</v>
      </c>
    </row>
    <row r="134" spans="1:21" x14ac:dyDescent="0.3">
      <c r="A134" s="2" t="s">
        <v>194</v>
      </c>
      <c r="B134" s="8">
        <v>45326</v>
      </c>
      <c r="C134" s="2" t="s">
        <v>27</v>
      </c>
      <c r="D134" s="2" t="s">
        <v>55</v>
      </c>
      <c r="E134" s="2" t="s">
        <v>71</v>
      </c>
      <c r="F134" s="2" t="s">
        <v>41</v>
      </c>
      <c r="G134" s="2" t="s">
        <v>42</v>
      </c>
      <c r="H134" s="13">
        <v>38.700000000000003</v>
      </c>
      <c r="I134" s="2" t="str">
        <f t="shared" si="15"/>
        <v>Moderate Risk</v>
      </c>
      <c r="J134" s="2">
        <v>68.3</v>
      </c>
      <c r="K134" s="2" t="str">
        <f t="shared" si="13"/>
        <v>Moderate Confidence</v>
      </c>
      <c r="L134" s="2" t="s">
        <v>43</v>
      </c>
      <c r="M134" s="2" t="str">
        <f t="shared" si="16"/>
        <v>Human Content</v>
      </c>
      <c r="N134" s="2">
        <v>0.747</v>
      </c>
      <c r="O134" s="2" t="s">
        <v>22</v>
      </c>
      <c r="P134" s="2">
        <v>566830</v>
      </c>
      <c r="Q134" s="2" t="str">
        <f t="shared" si="14"/>
        <v>Low</v>
      </c>
      <c r="R134" s="2">
        <v>11570151</v>
      </c>
      <c r="S134" s="2" t="str">
        <f t="shared" si="17"/>
        <v>Highly Viral</v>
      </c>
      <c r="T134" s="2" t="s">
        <v>31</v>
      </c>
      <c r="U134" s="5" t="s">
        <v>32</v>
      </c>
    </row>
    <row r="135" spans="1:21" x14ac:dyDescent="0.3">
      <c r="A135" s="4" t="s">
        <v>195</v>
      </c>
      <c r="B135" s="9">
        <v>45628</v>
      </c>
      <c r="C135" s="4" t="s">
        <v>17</v>
      </c>
      <c r="D135" s="4" t="s">
        <v>60</v>
      </c>
      <c r="E135" s="4" t="s">
        <v>51</v>
      </c>
      <c r="F135" s="4" t="s">
        <v>20</v>
      </c>
      <c r="G135" s="4" t="s">
        <v>67</v>
      </c>
      <c r="H135" s="14">
        <v>35.200000000000003</v>
      </c>
      <c r="I135" s="2" t="str">
        <f t="shared" si="15"/>
        <v>Moderate Risk</v>
      </c>
      <c r="J135" s="4">
        <v>66.599999999999994</v>
      </c>
      <c r="K135" s="2" t="str">
        <f t="shared" si="13"/>
        <v>Moderate Confidence</v>
      </c>
      <c r="L135" s="4" t="s">
        <v>43</v>
      </c>
      <c r="M135" s="2" t="str">
        <f t="shared" si="16"/>
        <v>Human Content</v>
      </c>
      <c r="N135" s="4">
        <v>0.64300000000000002</v>
      </c>
      <c r="O135" s="4" t="s">
        <v>23</v>
      </c>
      <c r="P135" s="4">
        <v>3897639</v>
      </c>
      <c r="Q135" s="2" t="str">
        <f t="shared" si="14"/>
        <v>Medium</v>
      </c>
      <c r="R135" s="4">
        <v>16057341</v>
      </c>
      <c r="S135" s="2" t="str">
        <f t="shared" si="17"/>
        <v>Highly Viral</v>
      </c>
      <c r="T135" s="4" t="s">
        <v>31</v>
      </c>
      <c r="U135" s="5" t="s">
        <v>32</v>
      </c>
    </row>
    <row r="136" spans="1:21" x14ac:dyDescent="0.3">
      <c r="A136" s="2" t="s">
        <v>196</v>
      </c>
      <c r="B136" s="8">
        <v>45361</v>
      </c>
      <c r="C136" s="2" t="s">
        <v>17</v>
      </c>
      <c r="D136" s="2" t="s">
        <v>55</v>
      </c>
      <c r="E136" s="2" t="s">
        <v>47</v>
      </c>
      <c r="F136" s="2" t="s">
        <v>52</v>
      </c>
      <c r="G136" s="2" t="s">
        <v>21</v>
      </c>
      <c r="H136" s="13">
        <v>4.4000000000000004</v>
      </c>
      <c r="I136" s="2" t="str">
        <f t="shared" si="15"/>
        <v>Moderate Risk</v>
      </c>
      <c r="J136" s="2">
        <v>59.8</v>
      </c>
      <c r="K136" s="2" t="str">
        <f t="shared" si="13"/>
        <v>Moderate Confidence</v>
      </c>
      <c r="L136" s="2" t="s">
        <v>22</v>
      </c>
      <c r="M136" s="2" t="str">
        <f t="shared" si="16"/>
        <v>Human Content</v>
      </c>
      <c r="N136" s="2">
        <v>4.2000000000000003E-2</v>
      </c>
      <c r="O136" s="2" t="s">
        <v>22</v>
      </c>
      <c r="P136" s="2">
        <v>4323450</v>
      </c>
      <c r="Q136" s="2" t="str">
        <f t="shared" si="14"/>
        <v>High</v>
      </c>
      <c r="R136" s="2">
        <v>13362681</v>
      </c>
      <c r="S136" s="2" t="str">
        <f t="shared" si="17"/>
        <v>Highly Viral</v>
      </c>
      <c r="T136" s="2" t="s">
        <v>44</v>
      </c>
      <c r="U136" s="3" t="s">
        <v>25</v>
      </c>
    </row>
    <row r="137" spans="1:21" x14ac:dyDescent="0.3">
      <c r="A137" s="4" t="s">
        <v>197</v>
      </c>
      <c r="B137" s="9">
        <v>45534</v>
      </c>
      <c r="C137" s="4" t="s">
        <v>34</v>
      </c>
      <c r="D137" s="4" t="s">
        <v>18</v>
      </c>
      <c r="E137" s="4" t="s">
        <v>28</v>
      </c>
      <c r="F137" s="4" t="s">
        <v>52</v>
      </c>
      <c r="G137" s="4" t="s">
        <v>64</v>
      </c>
      <c r="H137" s="14">
        <v>86.2</v>
      </c>
      <c r="I137" s="2" t="str">
        <f t="shared" si="15"/>
        <v>High Risk</v>
      </c>
      <c r="J137" s="4">
        <v>52.3</v>
      </c>
      <c r="K137" s="2" t="str">
        <f t="shared" si="13"/>
        <v>Moderate Confidence</v>
      </c>
      <c r="L137" s="4" t="s">
        <v>30</v>
      </c>
      <c r="M137" s="2" t="str">
        <f t="shared" si="16"/>
        <v>AI Generated</v>
      </c>
      <c r="N137" s="4">
        <v>0.65600000000000003</v>
      </c>
      <c r="O137" s="4" t="s">
        <v>22</v>
      </c>
      <c r="P137" s="4">
        <v>1044272</v>
      </c>
      <c r="Q137" s="2" t="str">
        <f t="shared" si="14"/>
        <v>Medium</v>
      </c>
      <c r="R137" s="4">
        <v>12349174</v>
      </c>
      <c r="S137" s="2" t="str">
        <f t="shared" si="17"/>
        <v>Highly Viral</v>
      </c>
      <c r="T137" s="4" t="s">
        <v>24</v>
      </c>
      <c r="U137" s="6" t="s">
        <v>48</v>
      </c>
    </row>
    <row r="138" spans="1:21" x14ac:dyDescent="0.3">
      <c r="A138" s="2" t="s">
        <v>198</v>
      </c>
      <c r="B138" s="8">
        <v>45496</v>
      </c>
      <c r="C138" s="2" t="s">
        <v>54</v>
      </c>
      <c r="D138" s="2" t="s">
        <v>55</v>
      </c>
      <c r="E138" s="2" t="s">
        <v>51</v>
      </c>
      <c r="F138" s="2" t="s">
        <v>20</v>
      </c>
      <c r="G138" s="2" t="s">
        <v>37</v>
      </c>
      <c r="H138" s="13">
        <v>69.2</v>
      </c>
      <c r="I138" s="2" t="str">
        <f t="shared" si="15"/>
        <v>High Risk</v>
      </c>
      <c r="J138" s="2">
        <v>68</v>
      </c>
      <c r="K138" s="2" t="str">
        <f t="shared" si="13"/>
        <v>Moderate Confidence</v>
      </c>
      <c r="L138" s="2" t="s">
        <v>30</v>
      </c>
      <c r="M138" s="2" t="str">
        <f t="shared" si="16"/>
        <v>AI Generated</v>
      </c>
      <c r="N138" s="2">
        <v>0.79700000000000004</v>
      </c>
      <c r="O138" s="2" t="s">
        <v>22</v>
      </c>
      <c r="P138" s="2">
        <v>693095</v>
      </c>
      <c r="Q138" s="2" t="str">
        <f t="shared" si="14"/>
        <v>Low</v>
      </c>
      <c r="R138" s="2">
        <v>14244345</v>
      </c>
      <c r="S138" s="2" t="str">
        <f t="shared" si="17"/>
        <v>Highly Viral</v>
      </c>
      <c r="T138" s="2" t="s">
        <v>61</v>
      </c>
      <c r="U138" s="6" t="s">
        <v>48</v>
      </c>
    </row>
    <row r="139" spans="1:21" x14ac:dyDescent="0.3">
      <c r="A139" s="4" t="s">
        <v>199</v>
      </c>
      <c r="B139" s="9">
        <v>45512</v>
      </c>
      <c r="C139" s="4" t="s">
        <v>69</v>
      </c>
      <c r="D139" s="4" t="s">
        <v>60</v>
      </c>
      <c r="E139" s="4" t="s">
        <v>19</v>
      </c>
      <c r="F139" s="4" t="s">
        <v>52</v>
      </c>
      <c r="G139" s="4" t="s">
        <v>67</v>
      </c>
      <c r="H139" s="14">
        <v>8</v>
      </c>
      <c r="I139" s="2" t="str">
        <f t="shared" si="15"/>
        <v>Moderate Risk</v>
      </c>
      <c r="J139" s="4">
        <v>82.4</v>
      </c>
      <c r="K139" s="2" t="str">
        <f t="shared" si="13"/>
        <v>High Confidence</v>
      </c>
      <c r="L139" s="4" t="s">
        <v>22</v>
      </c>
      <c r="M139" s="2" t="str">
        <f t="shared" si="16"/>
        <v>Human Content</v>
      </c>
      <c r="N139" s="4">
        <v>0.30599999999999999</v>
      </c>
      <c r="O139" s="4" t="s">
        <v>23</v>
      </c>
      <c r="P139" s="4">
        <v>3574620</v>
      </c>
      <c r="Q139" s="2" t="str">
        <f t="shared" si="14"/>
        <v>Medium</v>
      </c>
      <c r="R139" s="4">
        <v>5592170</v>
      </c>
      <c r="S139" s="2" t="str">
        <f t="shared" si="17"/>
        <v>Highly Viral</v>
      </c>
      <c r="T139" s="4" t="s">
        <v>24</v>
      </c>
      <c r="U139" s="3" t="s">
        <v>25</v>
      </c>
    </row>
    <row r="140" spans="1:21" x14ac:dyDescent="0.3">
      <c r="A140" s="2" t="s">
        <v>200</v>
      </c>
      <c r="B140" s="8">
        <v>45471</v>
      </c>
      <c r="C140" s="2" t="s">
        <v>54</v>
      </c>
      <c r="D140" s="2" t="s">
        <v>18</v>
      </c>
      <c r="E140" s="2" t="s">
        <v>51</v>
      </c>
      <c r="F140" s="2" t="s">
        <v>58</v>
      </c>
      <c r="G140" s="2" t="s">
        <v>37</v>
      </c>
      <c r="H140" s="13">
        <v>27.5</v>
      </c>
      <c r="I140" s="2" t="str">
        <f t="shared" si="15"/>
        <v>Moderate Risk</v>
      </c>
      <c r="J140" s="2">
        <v>98</v>
      </c>
      <c r="K140" s="2" t="str">
        <f t="shared" si="13"/>
        <v>High Confidence</v>
      </c>
      <c r="L140" s="2" t="s">
        <v>22</v>
      </c>
      <c r="M140" s="2" t="str">
        <f t="shared" si="16"/>
        <v>Human Content</v>
      </c>
      <c r="N140" s="2">
        <v>0.94799999999999995</v>
      </c>
      <c r="O140" s="2" t="s">
        <v>30</v>
      </c>
      <c r="P140" s="2">
        <v>3407638</v>
      </c>
      <c r="Q140" s="2" t="str">
        <f t="shared" si="14"/>
        <v>Medium</v>
      </c>
      <c r="R140" s="2">
        <v>12191198</v>
      </c>
      <c r="S140" s="2" t="str">
        <f t="shared" si="17"/>
        <v>Highly Viral</v>
      </c>
      <c r="T140" s="2" t="s">
        <v>44</v>
      </c>
      <c r="U140" s="3" t="s">
        <v>25</v>
      </c>
    </row>
    <row r="141" spans="1:21" x14ac:dyDescent="0.3">
      <c r="A141" s="4" t="s">
        <v>201</v>
      </c>
      <c r="B141" s="9">
        <v>45639</v>
      </c>
      <c r="C141" s="4" t="s">
        <v>69</v>
      </c>
      <c r="D141" s="4" t="s">
        <v>18</v>
      </c>
      <c r="E141" s="4" t="s">
        <v>35</v>
      </c>
      <c r="F141" s="4" t="s">
        <v>58</v>
      </c>
      <c r="G141" s="4" t="s">
        <v>42</v>
      </c>
      <c r="H141" s="14">
        <v>78.099999999999994</v>
      </c>
      <c r="I141" s="2" t="str">
        <f t="shared" si="15"/>
        <v>High Risk</v>
      </c>
      <c r="J141" s="4">
        <v>51.7</v>
      </c>
      <c r="K141" s="2" t="str">
        <f t="shared" si="13"/>
        <v>Moderate Confidence</v>
      </c>
      <c r="L141" s="4" t="s">
        <v>30</v>
      </c>
      <c r="M141" s="2" t="str">
        <f t="shared" si="16"/>
        <v>AI Generated</v>
      </c>
      <c r="N141" s="4">
        <v>6.7000000000000004E-2</v>
      </c>
      <c r="O141" s="4" t="s">
        <v>23</v>
      </c>
      <c r="P141" s="4">
        <v>3073085</v>
      </c>
      <c r="Q141" s="2" t="str">
        <f t="shared" si="14"/>
        <v>Medium</v>
      </c>
      <c r="R141" s="4">
        <v>12152257</v>
      </c>
      <c r="S141" s="2" t="str">
        <f t="shared" si="17"/>
        <v>Highly Viral</v>
      </c>
      <c r="T141" s="4" t="s">
        <v>24</v>
      </c>
      <c r="U141" s="6" t="s">
        <v>48</v>
      </c>
    </row>
    <row r="142" spans="1:21" x14ac:dyDescent="0.3">
      <c r="A142" s="2" t="s">
        <v>202</v>
      </c>
      <c r="B142" s="8">
        <v>45582</v>
      </c>
      <c r="C142" s="2" t="s">
        <v>27</v>
      </c>
      <c r="D142" s="2" t="s">
        <v>60</v>
      </c>
      <c r="E142" s="2" t="s">
        <v>35</v>
      </c>
      <c r="F142" s="2" t="s">
        <v>36</v>
      </c>
      <c r="G142" s="2" t="s">
        <v>37</v>
      </c>
      <c r="H142" s="13">
        <v>94.9</v>
      </c>
      <c r="I142" s="2" t="str">
        <f t="shared" si="15"/>
        <v>High Risk</v>
      </c>
      <c r="J142" s="2">
        <v>68.2</v>
      </c>
      <c r="K142" s="2" t="str">
        <f t="shared" si="13"/>
        <v>Moderate Confidence</v>
      </c>
      <c r="L142" s="2" t="s">
        <v>30</v>
      </c>
      <c r="M142" s="2" t="str">
        <f t="shared" si="16"/>
        <v>AI Generated</v>
      </c>
      <c r="N142" s="2">
        <v>0.76300000000000001</v>
      </c>
      <c r="O142" s="2" t="s">
        <v>23</v>
      </c>
      <c r="P142" s="2">
        <v>1155170</v>
      </c>
      <c r="Q142" s="2" t="str">
        <f t="shared" si="14"/>
        <v>Medium</v>
      </c>
      <c r="R142" s="2">
        <v>17766225</v>
      </c>
      <c r="S142" s="2" t="str">
        <f t="shared" si="17"/>
        <v>Highly Viral</v>
      </c>
      <c r="T142" s="2" t="s">
        <v>56</v>
      </c>
      <c r="U142" s="6" t="s">
        <v>48</v>
      </c>
    </row>
    <row r="143" spans="1:21" x14ac:dyDescent="0.3">
      <c r="A143" s="4" t="s">
        <v>203</v>
      </c>
      <c r="B143" s="9">
        <v>45495</v>
      </c>
      <c r="C143" s="4" t="s">
        <v>39</v>
      </c>
      <c r="D143" s="4" t="s">
        <v>40</v>
      </c>
      <c r="E143" s="4" t="s">
        <v>28</v>
      </c>
      <c r="F143" s="4" t="s">
        <v>41</v>
      </c>
      <c r="G143" s="4" t="s">
        <v>67</v>
      </c>
      <c r="H143" s="14">
        <v>73.599999999999994</v>
      </c>
      <c r="I143" s="2" t="str">
        <f t="shared" si="15"/>
        <v>High Risk</v>
      </c>
      <c r="J143" s="4">
        <v>74.5</v>
      </c>
      <c r="K143" s="2" t="str">
        <f t="shared" si="13"/>
        <v>High Confidence</v>
      </c>
      <c r="L143" s="4" t="s">
        <v>30</v>
      </c>
      <c r="M143" s="2" t="str">
        <f t="shared" si="16"/>
        <v>AI Generated</v>
      </c>
      <c r="N143" s="4">
        <v>0.38700000000000001</v>
      </c>
      <c r="O143" s="4" t="s">
        <v>23</v>
      </c>
      <c r="P143" s="4">
        <v>987950</v>
      </c>
      <c r="Q143" s="2" t="str">
        <f t="shared" si="14"/>
        <v>Low</v>
      </c>
      <c r="R143" s="4">
        <v>8784267</v>
      </c>
      <c r="S143" s="2" t="str">
        <f t="shared" si="17"/>
        <v>Highly Viral</v>
      </c>
      <c r="T143" s="4" t="s">
        <v>56</v>
      </c>
      <c r="U143" s="6" t="s">
        <v>48</v>
      </c>
    </row>
    <row r="144" spans="1:21" x14ac:dyDescent="0.3">
      <c r="A144" s="2" t="s">
        <v>204</v>
      </c>
      <c r="B144" s="8">
        <v>45652</v>
      </c>
      <c r="C144" s="2" t="s">
        <v>54</v>
      </c>
      <c r="D144" s="2" t="s">
        <v>50</v>
      </c>
      <c r="E144" s="2" t="s">
        <v>19</v>
      </c>
      <c r="F144" s="2" t="s">
        <v>36</v>
      </c>
      <c r="G144" s="2" t="s">
        <v>37</v>
      </c>
      <c r="H144" s="13">
        <v>20</v>
      </c>
      <c r="I144" s="2" t="str">
        <f t="shared" si="15"/>
        <v>Moderate Risk</v>
      </c>
      <c r="J144" s="2">
        <v>56.7</v>
      </c>
      <c r="K144" s="2" t="str">
        <f t="shared" si="13"/>
        <v>Moderate Confidence</v>
      </c>
      <c r="L144" s="2" t="s">
        <v>22</v>
      </c>
      <c r="M144" s="2" t="str">
        <f t="shared" si="16"/>
        <v>Human Content</v>
      </c>
      <c r="N144" s="2">
        <v>7.3999999999999996E-2</v>
      </c>
      <c r="O144" s="2" t="s">
        <v>30</v>
      </c>
      <c r="P144" s="2">
        <v>3733963</v>
      </c>
      <c r="Q144" s="2" t="str">
        <f t="shared" si="14"/>
        <v>Medium</v>
      </c>
      <c r="R144" s="2">
        <v>2946268</v>
      </c>
      <c r="S144" s="2" t="str">
        <f t="shared" si="17"/>
        <v>Moderately Viral</v>
      </c>
      <c r="T144" s="2" t="s">
        <v>56</v>
      </c>
      <c r="U144" s="3" t="s">
        <v>25</v>
      </c>
    </row>
    <row r="145" spans="1:21" x14ac:dyDescent="0.3">
      <c r="A145" s="4" t="s">
        <v>205</v>
      </c>
      <c r="B145" s="9">
        <v>45633</v>
      </c>
      <c r="C145" s="4" t="s">
        <v>39</v>
      </c>
      <c r="D145" s="4" t="s">
        <v>18</v>
      </c>
      <c r="E145" s="4" t="s">
        <v>19</v>
      </c>
      <c r="F145" s="4" t="s">
        <v>52</v>
      </c>
      <c r="G145" s="4" t="s">
        <v>74</v>
      </c>
      <c r="H145" s="14">
        <v>15.8</v>
      </c>
      <c r="I145" s="2" t="str">
        <f t="shared" si="15"/>
        <v>Moderate Risk</v>
      </c>
      <c r="J145" s="4">
        <v>84.8</v>
      </c>
      <c r="K145" s="2" t="str">
        <f t="shared" si="13"/>
        <v>High Confidence</v>
      </c>
      <c r="L145" s="4" t="s">
        <v>22</v>
      </c>
      <c r="M145" s="2" t="str">
        <f t="shared" si="16"/>
        <v>Human Content</v>
      </c>
      <c r="N145" s="4">
        <v>0.7</v>
      </c>
      <c r="O145" s="4" t="s">
        <v>30</v>
      </c>
      <c r="P145" s="4">
        <v>3032516</v>
      </c>
      <c r="Q145" s="2" t="str">
        <f t="shared" si="14"/>
        <v>Medium</v>
      </c>
      <c r="R145" s="4">
        <v>17071510</v>
      </c>
      <c r="S145" s="2" t="str">
        <f t="shared" si="17"/>
        <v>Highly Viral</v>
      </c>
      <c r="T145" s="4" t="s">
        <v>31</v>
      </c>
      <c r="U145" s="3" t="s">
        <v>25</v>
      </c>
    </row>
    <row r="146" spans="1:21" x14ac:dyDescent="0.3">
      <c r="A146" s="2" t="s">
        <v>206</v>
      </c>
      <c r="B146" s="8">
        <v>45354</v>
      </c>
      <c r="C146" s="2" t="s">
        <v>46</v>
      </c>
      <c r="D146" s="2" t="s">
        <v>50</v>
      </c>
      <c r="E146" s="2" t="s">
        <v>28</v>
      </c>
      <c r="F146" s="2" t="s">
        <v>76</v>
      </c>
      <c r="G146" s="2" t="s">
        <v>67</v>
      </c>
      <c r="H146" s="13">
        <v>36.1</v>
      </c>
      <c r="I146" s="2" t="str">
        <f t="shared" si="15"/>
        <v>Moderate Risk</v>
      </c>
      <c r="J146" s="2">
        <v>78</v>
      </c>
      <c r="K146" s="2" t="str">
        <f t="shared" si="13"/>
        <v>High Confidence</v>
      </c>
      <c r="L146" s="2" t="s">
        <v>43</v>
      </c>
      <c r="M146" s="2" t="str">
        <f t="shared" si="16"/>
        <v>Human Content</v>
      </c>
      <c r="N146" s="2">
        <v>0.46700000000000003</v>
      </c>
      <c r="O146" s="2" t="s">
        <v>23</v>
      </c>
      <c r="P146" s="2">
        <v>1088699</v>
      </c>
      <c r="Q146" s="2" t="str">
        <f t="shared" si="14"/>
        <v>Medium</v>
      </c>
      <c r="R146" s="2">
        <v>2893411</v>
      </c>
      <c r="S146" s="2" t="str">
        <f t="shared" si="17"/>
        <v>Moderately Viral</v>
      </c>
      <c r="T146" s="2" t="s">
        <v>61</v>
      </c>
      <c r="U146" s="5" t="s">
        <v>32</v>
      </c>
    </row>
    <row r="147" spans="1:21" x14ac:dyDescent="0.3">
      <c r="A147" s="4" t="s">
        <v>207</v>
      </c>
      <c r="B147" s="9">
        <v>45450</v>
      </c>
      <c r="C147" s="4" t="s">
        <v>78</v>
      </c>
      <c r="D147" s="4" t="s">
        <v>55</v>
      </c>
      <c r="E147" s="4" t="s">
        <v>88</v>
      </c>
      <c r="F147" s="4" t="s">
        <v>76</v>
      </c>
      <c r="G147" s="4" t="s">
        <v>74</v>
      </c>
      <c r="H147" s="14">
        <v>57.5</v>
      </c>
      <c r="I147" s="2" t="str">
        <f t="shared" si="15"/>
        <v>Moderate Risk</v>
      </c>
      <c r="J147" s="4">
        <v>56.1</v>
      </c>
      <c r="K147" s="2" t="str">
        <f t="shared" si="13"/>
        <v>Moderate Confidence</v>
      </c>
      <c r="L147" s="4" t="s">
        <v>43</v>
      </c>
      <c r="M147" s="2" t="str">
        <f t="shared" si="16"/>
        <v>Human Content</v>
      </c>
      <c r="N147" s="4">
        <v>0.317</v>
      </c>
      <c r="O147" s="4" t="s">
        <v>30</v>
      </c>
      <c r="P147" s="4">
        <v>3774759</v>
      </c>
      <c r="Q147" s="2" t="str">
        <f t="shared" si="14"/>
        <v>Medium</v>
      </c>
      <c r="R147" s="4">
        <v>15631268</v>
      </c>
      <c r="S147" s="2" t="str">
        <f t="shared" si="17"/>
        <v>Highly Viral</v>
      </c>
      <c r="T147" s="4" t="s">
        <v>44</v>
      </c>
      <c r="U147" s="5" t="s">
        <v>32</v>
      </c>
    </row>
    <row r="148" spans="1:21" x14ac:dyDescent="0.3">
      <c r="A148" s="2" t="s">
        <v>208</v>
      </c>
      <c r="B148" s="8">
        <v>45468</v>
      </c>
      <c r="C148" s="2" t="s">
        <v>69</v>
      </c>
      <c r="D148" s="2" t="s">
        <v>60</v>
      </c>
      <c r="E148" s="2" t="s">
        <v>35</v>
      </c>
      <c r="F148" s="2" t="s">
        <v>20</v>
      </c>
      <c r="G148" s="2" t="s">
        <v>37</v>
      </c>
      <c r="H148" s="13">
        <v>50.3</v>
      </c>
      <c r="I148" s="2" t="str">
        <f t="shared" si="15"/>
        <v>Moderate Risk</v>
      </c>
      <c r="J148" s="2">
        <v>92.5</v>
      </c>
      <c r="K148" s="2" t="str">
        <f t="shared" si="13"/>
        <v>High Confidence</v>
      </c>
      <c r="L148" s="2" t="s">
        <v>43</v>
      </c>
      <c r="M148" s="2" t="str">
        <f t="shared" si="16"/>
        <v>Human Content</v>
      </c>
      <c r="N148" s="2">
        <v>0.83099999999999996</v>
      </c>
      <c r="O148" s="2" t="s">
        <v>23</v>
      </c>
      <c r="P148" s="2">
        <v>1283686</v>
      </c>
      <c r="Q148" s="2" t="str">
        <f t="shared" si="14"/>
        <v>Medium</v>
      </c>
      <c r="R148" s="2">
        <v>10205226</v>
      </c>
      <c r="S148" s="2" t="str">
        <f t="shared" si="17"/>
        <v>Highly Viral</v>
      </c>
      <c r="T148" s="2" t="s">
        <v>31</v>
      </c>
      <c r="U148" s="5" t="s">
        <v>32</v>
      </c>
    </row>
    <row r="149" spans="1:21" x14ac:dyDescent="0.3">
      <c r="A149" s="4" t="s">
        <v>209</v>
      </c>
      <c r="B149" s="9">
        <v>45374</v>
      </c>
      <c r="C149" s="4" t="s">
        <v>39</v>
      </c>
      <c r="D149" s="4" t="s">
        <v>50</v>
      </c>
      <c r="E149" s="4" t="s">
        <v>51</v>
      </c>
      <c r="F149" s="4" t="s">
        <v>58</v>
      </c>
      <c r="G149" s="4" t="s">
        <v>64</v>
      </c>
      <c r="H149" s="14">
        <v>84.6</v>
      </c>
      <c r="I149" s="2" t="str">
        <f t="shared" si="15"/>
        <v>High Risk</v>
      </c>
      <c r="J149" s="4">
        <v>62.3</v>
      </c>
      <c r="K149" s="2" t="str">
        <f t="shared" si="13"/>
        <v>Moderate Confidence</v>
      </c>
      <c r="L149" s="4" t="s">
        <v>30</v>
      </c>
      <c r="M149" s="2" t="str">
        <f t="shared" si="16"/>
        <v>AI Generated</v>
      </c>
      <c r="N149" s="4">
        <v>0.63500000000000001</v>
      </c>
      <c r="O149" s="4" t="s">
        <v>23</v>
      </c>
      <c r="P149" s="4">
        <v>2302362</v>
      </c>
      <c r="Q149" s="2" t="str">
        <f t="shared" si="14"/>
        <v>Medium</v>
      </c>
      <c r="R149" s="4">
        <v>4200518</v>
      </c>
      <c r="S149" s="2" t="str">
        <f t="shared" si="17"/>
        <v>Moderately Viral</v>
      </c>
      <c r="T149" s="4" t="s">
        <v>56</v>
      </c>
      <c r="U149" s="6" t="s">
        <v>48</v>
      </c>
    </row>
    <row r="150" spans="1:21" x14ac:dyDescent="0.3">
      <c r="A150" s="2" t="s">
        <v>210</v>
      </c>
      <c r="B150" s="8">
        <v>45606</v>
      </c>
      <c r="C150" s="2" t="s">
        <v>17</v>
      </c>
      <c r="D150" s="2" t="s">
        <v>60</v>
      </c>
      <c r="E150" s="2" t="s">
        <v>35</v>
      </c>
      <c r="F150" s="2" t="s">
        <v>58</v>
      </c>
      <c r="G150" s="2" t="s">
        <v>29</v>
      </c>
      <c r="H150" s="13">
        <v>15.4</v>
      </c>
      <c r="I150" s="2" t="str">
        <f t="shared" si="15"/>
        <v>Moderate Risk</v>
      </c>
      <c r="J150" s="2">
        <v>82.3</v>
      </c>
      <c r="K150" s="2" t="str">
        <f t="shared" si="13"/>
        <v>High Confidence</v>
      </c>
      <c r="L150" s="2" t="s">
        <v>22</v>
      </c>
      <c r="M150" s="2" t="str">
        <f t="shared" si="16"/>
        <v>Human Content</v>
      </c>
      <c r="N150" s="2">
        <v>0.72099999999999997</v>
      </c>
      <c r="O150" s="2" t="s">
        <v>23</v>
      </c>
      <c r="P150" s="2">
        <v>2832258</v>
      </c>
      <c r="Q150" s="2" t="str">
        <f t="shared" si="14"/>
        <v>Medium</v>
      </c>
      <c r="R150" s="2">
        <v>18912383</v>
      </c>
      <c r="S150" s="2" t="str">
        <f t="shared" si="17"/>
        <v>Highly Viral</v>
      </c>
      <c r="T150" s="2" t="s">
        <v>61</v>
      </c>
      <c r="U150" s="3" t="s">
        <v>25</v>
      </c>
    </row>
    <row r="151" spans="1:21" x14ac:dyDescent="0.3">
      <c r="A151" s="4" t="s">
        <v>211</v>
      </c>
      <c r="B151" s="9">
        <v>45306</v>
      </c>
      <c r="C151" s="4" t="s">
        <v>17</v>
      </c>
      <c r="D151" s="4" t="s">
        <v>18</v>
      </c>
      <c r="E151" s="4" t="s">
        <v>19</v>
      </c>
      <c r="F151" s="4" t="s">
        <v>36</v>
      </c>
      <c r="G151" s="4" t="s">
        <v>21</v>
      </c>
      <c r="H151" s="14">
        <v>76.7</v>
      </c>
      <c r="I151" s="2" t="str">
        <f t="shared" si="15"/>
        <v>High Risk</v>
      </c>
      <c r="J151" s="4">
        <v>70.400000000000006</v>
      </c>
      <c r="K151" s="2" t="str">
        <f t="shared" si="13"/>
        <v>High Confidence</v>
      </c>
      <c r="L151" s="4" t="s">
        <v>30</v>
      </c>
      <c r="M151" s="2" t="str">
        <f t="shared" si="16"/>
        <v>AI Generated</v>
      </c>
      <c r="N151" s="4">
        <v>0.63900000000000001</v>
      </c>
      <c r="O151" s="4" t="s">
        <v>22</v>
      </c>
      <c r="P151" s="4">
        <v>4576735</v>
      </c>
      <c r="Q151" s="2" t="str">
        <f t="shared" si="14"/>
        <v>High</v>
      </c>
      <c r="R151" s="4">
        <v>9720267</v>
      </c>
      <c r="S151" s="2" t="str">
        <f t="shared" si="17"/>
        <v>Highly Viral</v>
      </c>
      <c r="T151" s="4" t="s">
        <v>56</v>
      </c>
      <c r="U151" s="6" t="s">
        <v>48</v>
      </c>
    </row>
    <row r="152" spans="1:21" x14ac:dyDescent="0.3">
      <c r="A152" s="2" t="s">
        <v>212</v>
      </c>
      <c r="B152" s="8">
        <v>45539</v>
      </c>
      <c r="C152" s="2" t="s">
        <v>46</v>
      </c>
      <c r="D152" s="2" t="s">
        <v>55</v>
      </c>
      <c r="E152" s="2" t="s">
        <v>19</v>
      </c>
      <c r="F152" s="2" t="s">
        <v>76</v>
      </c>
      <c r="G152" s="2" t="s">
        <v>67</v>
      </c>
      <c r="H152" s="13">
        <v>68.900000000000006</v>
      </c>
      <c r="I152" s="2" t="str">
        <f t="shared" si="15"/>
        <v>High Risk</v>
      </c>
      <c r="J152" s="2">
        <v>57.7</v>
      </c>
      <c r="K152" s="2" t="str">
        <f t="shared" si="13"/>
        <v>Moderate Confidence</v>
      </c>
      <c r="L152" s="2" t="s">
        <v>30</v>
      </c>
      <c r="M152" s="2" t="str">
        <f t="shared" si="16"/>
        <v>AI Generated</v>
      </c>
      <c r="N152" s="2">
        <v>0.41599999999999998</v>
      </c>
      <c r="O152" s="2" t="s">
        <v>22</v>
      </c>
      <c r="P152" s="2">
        <v>1711569</v>
      </c>
      <c r="Q152" s="2" t="str">
        <f t="shared" si="14"/>
        <v>Medium</v>
      </c>
      <c r="R152" s="2">
        <v>11415468</v>
      </c>
      <c r="S152" s="2" t="str">
        <f t="shared" si="17"/>
        <v>Highly Viral</v>
      </c>
      <c r="T152" s="2" t="s">
        <v>44</v>
      </c>
      <c r="U152" s="6" t="s">
        <v>48</v>
      </c>
    </row>
    <row r="153" spans="1:21" x14ac:dyDescent="0.3">
      <c r="A153" s="4" t="s">
        <v>213</v>
      </c>
      <c r="B153" s="9">
        <v>45365</v>
      </c>
      <c r="C153" s="4" t="s">
        <v>39</v>
      </c>
      <c r="D153" s="4" t="s">
        <v>40</v>
      </c>
      <c r="E153" s="4" t="s">
        <v>51</v>
      </c>
      <c r="F153" s="4" t="s">
        <v>76</v>
      </c>
      <c r="G153" s="4" t="s">
        <v>21</v>
      </c>
      <c r="H153" s="14">
        <v>76.099999999999994</v>
      </c>
      <c r="I153" s="2" t="str">
        <f t="shared" si="15"/>
        <v>High Risk</v>
      </c>
      <c r="J153" s="4">
        <v>75.2</v>
      </c>
      <c r="K153" s="2" t="str">
        <f t="shared" ref="K153:K216" si="18">IF(J153&gt;70,"High Confidence",IF(J153&gt;30,"Moderate Confidence",IF(J153&lt;30,"Low Confidence")))</f>
        <v>High Confidence</v>
      </c>
      <c r="L153" s="4" t="s">
        <v>30</v>
      </c>
      <c r="M153" s="2" t="str">
        <f t="shared" si="16"/>
        <v>AI Generated</v>
      </c>
      <c r="N153" s="4">
        <v>0.106</v>
      </c>
      <c r="O153" s="4" t="s">
        <v>30</v>
      </c>
      <c r="P153" s="4">
        <v>3913155</v>
      </c>
      <c r="Q153" s="2" t="str">
        <f t="shared" si="14"/>
        <v>Medium</v>
      </c>
      <c r="R153" s="4">
        <v>4111653</v>
      </c>
      <c r="S153" s="2" t="str">
        <f t="shared" si="17"/>
        <v>Moderately Viral</v>
      </c>
      <c r="T153" s="4" t="s">
        <v>56</v>
      </c>
      <c r="U153" s="6" t="s">
        <v>48</v>
      </c>
    </row>
    <row r="154" spans="1:21" x14ac:dyDescent="0.3">
      <c r="A154" s="2" t="s">
        <v>214</v>
      </c>
      <c r="B154" s="8">
        <v>45522</v>
      </c>
      <c r="C154" s="2" t="s">
        <v>46</v>
      </c>
      <c r="D154" s="2" t="s">
        <v>50</v>
      </c>
      <c r="E154" s="2" t="s">
        <v>73</v>
      </c>
      <c r="F154" s="2" t="s">
        <v>41</v>
      </c>
      <c r="G154" s="2" t="s">
        <v>64</v>
      </c>
      <c r="H154" s="13">
        <v>94.5</v>
      </c>
      <c r="I154" s="2" t="str">
        <f t="shared" si="15"/>
        <v>High Risk</v>
      </c>
      <c r="J154" s="2">
        <v>92.3</v>
      </c>
      <c r="K154" s="2" t="str">
        <f t="shared" si="18"/>
        <v>High Confidence</v>
      </c>
      <c r="L154" s="2" t="s">
        <v>30</v>
      </c>
      <c r="M154" s="2" t="str">
        <f t="shared" si="16"/>
        <v>AI Generated</v>
      </c>
      <c r="N154" s="2">
        <v>0.41799999999999998</v>
      </c>
      <c r="O154" s="2" t="s">
        <v>30</v>
      </c>
      <c r="P154" s="2">
        <v>2746830</v>
      </c>
      <c r="Q154" s="2" t="str">
        <f t="shared" si="14"/>
        <v>Medium</v>
      </c>
      <c r="R154" s="2">
        <v>19384460</v>
      </c>
      <c r="S154" s="2" t="str">
        <f t="shared" si="17"/>
        <v>Highly Viral</v>
      </c>
      <c r="T154" s="2" t="s">
        <v>56</v>
      </c>
      <c r="U154" s="6" t="s">
        <v>48</v>
      </c>
    </row>
    <row r="155" spans="1:21" x14ac:dyDescent="0.3">
      <c r="A155" s="4" t="s">
        <v>215</v>
      </c>
      <c r="B155" s="9">
        <v>45389</v>
      </c>
      <c r="C155" s="4" t="s">
        <v>69</v>
      </c>
      <c r="D155" s="4" t="s">
        <v>55</v>
      </c>
      <c r="E155" s="4" t="s">
        <v>71</v>
      </c>
      <c r="F155" s="4" t="s">
        <v>76</v>
      </c>
      <c r="G155" s="4" t="s">
        <v>64</v>
      </c>
      <c r="H155" s="14">
        <v>49.7</v>
      </c>
      <c r="I155" s="2" t="str">
        <f t="shared" si="15"/>
        <v>Moderate Risk</v>
      </c>
      <c r="J155" s="4">
        <v>54.4</v>
      </c>
      <c r="K155" s="2" t="str">
        <f t="shared" si="18"/>
        <v>Moderate Confidence</v>
      </c>
      <c r="L155" s="4" t="s">
        <v>43</v>
      </c>
      <c r="M155" s="2" t="str">
        <f t="shared" si="16"/>
        <v>Human Content</v>
      </c>
      <c r="N155" s="4">
        <v>0.39300000000000002</v>
      </c>
      <c r="O155" s="4" t="s">
        <v>22</v>
      </c>
      <c r="P155" s="4">
        <v>2019478</v>
      </c>
      <c r="Q155" s="2" t="str">
        <f t="shared" si="14"/>
        <v>Medium</v>
      </c>
      <c r="R155" s="4">
        <v>7219548</v>
      </c>
      <c r="S155" s="2" t="str">
        <f t="shared" si="17"/>
        <v>Highly Viral</v>
      </c>
      <c r="T155" s="4" t="s">
        <v>44</v>
      </c>
      <c r="U155" s="5" t="s">
        <v>32</v>
      </c>
    </row>
    <row r="156" spans="1:21" x14ac:dyDescent="0.3">
      <c r="A156" s="2" t="s">
        <v>216</v>
      </c>
      <c r="B156" s="8">
        <v>45472</v>
      </c>
      <c r="C156" s="2" t="s">
        <v>27</v>
      </c>
      <c r="D156" s="2" t="s">
        <v>18</v>
      </c>
      <c r="E156" s="2" t="s">
        <v>19</v>
      </c>
      <c r="F156" s="2" t="s">
        <v>76</v>
      </c>
      <c r="G156" s="2" t="s">
        <v>29</v>
      </c>
      <c r="H156" s="13">
        <v>88.2</v>
      </c>
      <c r="I156" s="2" t="str">
        <f t="shared" si="15"/>
        <v>High Risk</v>
      </c>
      <c r="J156" s="2">
        <v>82.1</v>
      </c>
      <c r="K156" s="2" t="str">
        <f t="shared" si="18"/>
        <v>High Confidence</v>
      </c>
      <c r="L156" s="2" t="s">
        <v>30</v>
      </c>
      <c r="M156" s="2" t="str">
        <f t="shared" si="16"/>
        <v>AI Generated</v>
      </c>
      <c r="N156" s="2">
        <v>0.47099999999999997</v>
      </c>
      <c r="O156" s="2" t="s">
        <v>23</v>
      </c>
      <c r="P156" s="2">
        <v>68697</v>
      </c>
      <c r="Q156" s="2" t="str">
        <f t="shared" si="14"/>
        <v>Low</v>
      </c>
      <c r="R156" s="2">
        <v>3607503</v>
      </c>
      <c r="S156" s="2" t="str">
        <f t="shared" si="17"/>
        <v>Moderately Viral</v>
      </c>
      <c r="T156" s="2" t="s">
        <v>24</v>
      </c>
      <c r="U156" s="6" t="s">
        <v>48</v>
      </c>
    </row>
    <row r="157" spans="1:21" x14ac:dyDescent="0.3">
      <c r="A157" s="4" t="s">
        <v>217</v>
      </c>
      <c r="B157" s="9">
        <v>45360</v>
      </c>
      <c r="C157" s="4" t="s">
        <v>34</v>
      </c>
      <c r="D157" s="4" t="s">
        <v>40</v>
      </c>
      <c r="E157" s="4" t="s">
        <v>88</v>
      </c>
      <c r="F157" s="4" t="s">
        <v>52</v>
      </c>
      <c r="G157" s="4" t="s">
        <v>67</v>
      </c>
      <c r="H157" s="14">
        <v>40.1</v>
      </c>
      <c r="I157" s="2" t="str">
        <f t="shared" si="15"/>
        <v>Moderate Risk</v>
      </c>
      <c r="J157" s="4">
        <v>77.900000000000006</v>
      </c>
      <c r="K157" s="2" t="str">
        <f t="shared" si="18"/>
        <v>High Confidence</v>
      </c>
      <c r="L157" s="4" t="s">
        <v>43</v>
      </c>
      <c r="M157" s="2" t="str">
        <f t="shared" si="16"/>
        <v>Human Content</v>
      </c>
      <c r="N157" s="4">
        <v>0.19500000000000001</v>
      </c>
      <c r="O157" s="4" t="s">
        <v>23</v>
      </c>
      <c r="P157" s="4">
        <v>2421066</v>
      </c>
      <c r="Q157" s="2" t="str">
        <f t="shared" si="14"/>
        <v>Medium</v>
      </c>
      <c r="R157" s="4">
        <v>2467816</v>
      </c>
      <c r="S157" s="2" t="str">
        <f t="shared" si="17"/>
        <v>Moderately Viral</v>
      </c>
      <c r="T157" s="4" t="s">
        <v>24</v>
      </c>
      <c r="U157" s="5" t="s">
        <v>32</v>
      </c>
    </row>
    <row r="158" spans="1:21" x14ac:dyDescent="0.3">
      <c r="A158" s="2" t="s">
        <v>218</v>
      </c>
      <c r="B158" s="8">
        <v>45550</v>
      </c>
      <c r="C158" s="2" t="s">
        <v>54</v>
      </c>
      <c r="D158" s="2" t="s">
        <v>60</v>
      </c>
      <c r="E158" s="2" t="s">
        <v>19</v>
      </c>
      <c r="F158" s="2" t="s">
        <v>58</v>
      </c>
      <c r="G158" s="2" t="s">
        <v>42</v>
      </c>
      <c r="H158" s="13">
        <v>61.1</v>
      </c>
      <c r="I158" s="2" t="str">
        <f t="shared" si="15"/>
        <v>High Risk</v>
      </c>
      <c r="J158" s="2">
        <v>56.3</v>
      </c>
      <c r="K158" s="2" t="str">
        <f t="shared" si="18"/>
        <v>Moderate Confidence</v>
      </c>
      <c r="L158" s="2" t="s">
        <v>30</v>
      </c>
      <c r="M158" s="2" t="str">
        <f t="shared" si="16"/>
        <v>AI Generated</v>
      </c>
      <c r="N158" s="2">
        <v>9.7000000000000003E-2</v>
      </c>
      <c r="O158" s="2" t="s">
        <v>22</v>
      </c>
      <c r="P158" s="2">
        <v>2844553</v>
      </c>
      <c r="Q158" s="2" t="str">
        <f t="shared" si="14"/>
        <v>Medium</v>
      </c>
      <c r="R158" s="2">
        <v>18718230</v>
      </c>
      <c r="S158" s="2" t="str">
        <f t="shared" si="17"/>
        <v>Highly Viral</v>
      </c>
      <c r="T158" s="2" t="s">
        <v>56</v>
      </c>
      <c r="U158" s="5" t="s">
        <v>32</v>
      </c>
    </row>
    <row r="159" spans="1:21" x14ac:dyDescent="0.3">
      <c r="A159" s="4" t="s">
        <v>219</v>
      </c>
      <c r="B159" s="9">
        <v>45365</v>
      </c>
      <c r="C159" s="4" t="s">
        <v>46</v>
      </c>
      <c r="D159" s="4" t="s">
        <v>60</v>
      </c>
      <c r="E159" s="4" t="s">
        <v>88</v>
      </c>
      <c r="F159" s="4" t="s">
        <v>58</v>
      </c>
      <c r="G159" s="4" t="s">
        <v>67</v>
      </c>
      <c r="H159" s="14">
        <v>4.5</v>
      </c>
      <c r="I159" s="2" t="str">
        <f t="shared" si="15"/>
        <v>Moderate Risk</v>
      </c>
      <c r="J159" s="4">
        <v>56.7</v>
      </c>
      <c r="K159" s="2" t="str">
        <f t="shared" si="18"/>
        <v>Moderate Confidence</v>
      </c>
      <c r="L159" s="4" t="s">
        <v>22</v>
      </c>
      <c r="M159" s="2" t="str">
        <f t="shared" si="16"/>
        <v>Human Content</v>
      </c>
      <c r="N159" s="4">
        <v>0.33300000000000002</v>
      </c>
      <c r="O159" s="4" t="s">
        <v>22</v>
      </c>
      <c r="P159" s="4">
        <v>4356578</v>
      </c>
      <c r="Q159" s="2" t="str">
        <f t="shared" si="14"/>
        <v>High</v>
      </c>
      <c r="R159" s="4">
        <v>15334491</v>
      </c>
      <c r="S159" s="2" t="str">
        <f t="shared" si="17"/>
        <v>Highly Viral</v>
      </c>
      <c r="T159" s="4" t="s">
        <v>31</v>
      </c>
      <c r="U159" s="3" t="s">
        <v>25</v>
      </c>
    </row>
    <row r="160" spans="1:21" x14ac:dyDescent="0.3">
      <c r="A160" s="2" t="s">
        <v>220</v>
      </c>
      <c r="B160" s="8">
        <v>45602</v>
      </c>
      <c r="C160" s="2" t="s">
        <v>69</v>
      </c>
      <c r="D160" s="2" t="s">
        <v>40</v>
      </c>
      <c r="E160" s="2" t="s">
        <v>51</v>
      </c>
      <c r="F160" s="2" t="s">
        <v>20</v>
      </c>
      <c r="G160" s="2" t="s">
        <v>37</v>
      </c>
      <c r="H160" s="13">
        <v>99.1</v>
      </c>
      <c r="I160" s="2" t="str">
        <f t="shared" si="15"/>
        <v>High Risk</v>
      </c>
      <c r="J160" s="2">
        <v>86.2</v>
      </c>
      <c r="K160" s="2" t="str">
        <f t="shared" si="18"/>
        <v>High Confidence</v>
      </c>
      <c r="L160" s="2" t="s">
        <v>30</v>
      </c>
      <c r="M160" s="2" t="str">
        <f t="shared" si="16"/>
        <v>AI Generated</v>
      </c>
      <c r="N160" s="2">
        <v>0.29899999999999999</v>
      </c>
      <c r="O160" s="2" t="s">
        <v>22</v>
      </c>
      <c r="P160" s="2">
        <v>4255766</v>
      </c>
      <c r="Q160" s="2" t="str">
        <f t="shared" si="14"/>
        <v>High</v>
      </c>
      <c r="R160" s="2">
        <v>17103667</v>
      </c>
      <c r="S160" s="2" t="str">
        <f t="shared" si="17"/>
        <v>Highly Viral</v>
      </c>
      <c r="T160" s="2" t="s">
        <v>44</v>
      </c>
      <c r="U160" s="6" t="s">
        <v>48</v>
      </c>
    </row>
    <row r="161" spans="1:21" x14ac:dyDescent="0.3">
      <c r="A161" s="4" t="s">
        <v>221</v>
      </c>
      <c r="B161" s="9">
        <v>45542</v>
      </c>
      <c r="C161" s="4" t="s">
        <v>34</v>
      </c>
      <c r="D161" s="4" t="s">
        <v>55</v>
      </c>
      <c r="E161" s="4" t="s">
        <v>47</v>
      </c>
      <c r="F161" s="4" t="s">
        <v>52</v>
      </c>
      <c r="G161" s="4" t="s">
        <v>64</v>
      </c>
      <c r="H161" s="14">
        <v>67.400000000000006</v>
      </c>
      <c r="I161" s="2" t="str">
        <f t="shared" si="15"/>
        <v>High Risk</v>
      </c>
      <c r="J161" s="4">
        <v>98</v>
      </c>
      <c r="K161" s="2" t="str">
        <f t="shared" si="18"/>
        <v>High Confidence</v>
      </c>
      <c r="L161" s="4" t="s">
        <v>30</v>
      </c>
      <c r="M161" s="2" t="str">
        <f t="shared" si="16"/>
        <v>AI Generated</v>
      </c>
      <c r="N161" s="4">
        <v>0.58399999999999996</v>
      </c>
      <c r="O161" s="4" t="s">
        <v>23</v>
      </c>
      <c r="P161" s="4">
        <v>223632</v>
      </c>
      <c r="Q161" s="2" t="str">
        <f t="shared" si="14"/>
        <v>Low</v>
      </c>
      <c r="R161" s="4">
        <v>15925105</v>
      </c>
      <c r="S161" s="2" t="str">
        <f t="shared" si="17"/>
        <v>Highly Viral</v>
      </c>
      <c r="T161" s="4" t="s">
        <v>56</v>
      </c>
      <c r="U161" s="6" t="s">
        <v>48</v>
      </c>
    </row>
    <row r="162" spans="1:21" x14ac:dyDescent="0.3">
      <c r="A162" s="2" t="s">
        <v>222</v>
      </c>
      <c r="B162" s="8">
        <v>45627</v>
      </c>
      <c r="C162" s="2" t="s">
        <v>46</v>
      </c>
      <c r="D162" s="2" t="s">
        <v>18</v>
      </c>
      <c r="E162" s="2" t="s">
        <v>71</v>
      </c>
      <c r="F162" s="2" t="s">
        <v>20</v>
      </c>
      <c r="G162" s="2" t="s">
        <v>29</v>
      </c>
      <c r="H162" s="13">
        <v>62.9</v>
      </c>
      <c r="I162" s="2" t="str">
        <f t="shared" si="15"/>
        <v>High Risk</v>
      </c>
      <c r="J162" s="2">
        <v>80.400000000000006</v>
      </c>
      <c r="K162" s="2" t="str">
        <f t="shared" si="18"/>
        <v>High Confidence</v>
      </c>
      <c r="L162" s="2" t="s">
        <v>30</v>
      </c>
      <c r="M162" s="2" t="str">
        <f t="shared" si="16"/>
        <v>AI Generated</v>
      </c>
      <c r="N162" s="2">
        <v>0.84099999999999997</v>
      </c>
      <c r="O162" s="2" t="s">
        <v>30</v>
      </c>
      <c r="P162" s="2">
        <v>2031792</v>
      </c>
      <c r="Q162" s="2" t="str">
        <f t="shared" si="14"/>
        <v>Medium</v>
      </c>
      <c r="R162" s="2">
        <v>1059830</v>
      </c>
      <c r="S162" s="2" t="str">
        <f t="shared" si="17"/>
        <v>Moderately Viral</v>
      </c>
      <c r="T162" s="2" t="s">
        <v>44</v>
      </c>
      <c r="U162" s="5" t="s">
        <v>32</v>
      </c>
    </row>
    <row r="163" spans="1:21" x14ac:dyDescent="0.3">
      <c r="A163" s="4" t="s">
        <v>223</v>
      </c>
      <c r="B163" s="9">
        <v>45650</v>
      </c>
      <c r="C163" s="4" t="s">
        <v>17</v>
      </c>
      <c r="D163" s="4" t="s">
        <v>50</v>
      </c>
      <c r="E163" s="4" t="s">
        <v>47</v>
      </c>
      <c r="F163" s="4" t="s">
        <v>76</v>
      </c>
      <c r="G163" s="4" t="s">
        <v>64</v>
      </c>
      <c r="H163" s="14">
        <v>41.9</v>
      </c>
      <c r="I163" s="2" t="str">
        <f t="shared" si="15"/>
        <v>Moderate Risk</v>
      </c>
      <c r="J163" s="4">
        <v>70.2</v>
      </c>
      <c r="K163" s="2" t="str">
        <f t="shared" si="18"/>
        <v>High Confidence</v>
      </c>
      <c r="L163" s="4" t="s">
        <v>43</v>
      </c>
      <c r="M163" s="2" t="str">
        <f t="shared" si="16"/>
        <v>Human Content</v>
      </c>
      <c r="N163" s="4">
        <v>0.20399999999999999</v>
      </c>
      <c r="O163" s="4" t="s">
        <v>23</v>
      </c>
      <c r="P163" s="4">
        <v>3956213</v>
      </c>
      <c r="Q163" s="2" t="str">
        <f t="shared" si="14"/>
        <v>Medium</v>
      </c>
      <c r="R163" s="4">
        <v>2090313</v>
      </c>
      <c r="S163" s="2" t="str">
        <f t="shared" si="17"/>
        <v>Moderately Viral</v>
      </c>
      <c r="T163" s="4" t="s">
        <v>31</v>
      </c>
      <c r="U163" s="5" t="s">
        <v>32</v>
      </c>
    </row>
    <row r="164" spans="1:21" x14ac:dyDescent="0.3">
      <c r="A164" s="2" t="s">
        <v>224</v>
      </c>
      <c r="B164" s="8">
        <v>45557</v>
      </c>
      <c r="C164" s="2" t="s">
        <v>46</v>
      </c>
      <c r="D164" s="2" t="s">
        <v>60</v>
      </c>
      <c r="E164" s="2" t="s">
        <v>51</v>
      </c>
      <c r="F164" s="2" t="s">
        <v>36</v>
      </c>
      <c r="G164" s="2" t="s">
        <v>37</v>
      </c>
      <c r="H164" s="13">
        <v>52.5</v>
      </c>
      <c r="I164" s="2" t="str">
        <f t="shared" si="15"/>
        <v>Moderate Risk</v>
      </c>
      <c r="J164" s="2">
        <v>65.400000000000006</v>
      </c>
      <c r="K164" s="2" t="str">
        <f t="shared" si="18"/>
        <v>Moderate Confidence</v>
      </c>
      <c r="L164" s="2" t="s">
        <v>43</v>
      </c>
      <c r="M164" s="2" t="str">
        <f t="shared" si="16"/>
        <v>Human Content</v>
      </c>
      <c r="N164" s="2">
        <v>0.17299999999999999</v>
      </c>
      <c r="O164" s="2" t="s">
        <v>23</v>
      </c>
      <c r="P164" s="2">
        <v>2871747</v>
      </c>
      <c r="Q164" s="2" t="str">
        <f t="shared" si="14"/>
        <v>Medium</v>
      </c>
      <c r="R164" s="2">
        <v>18330387</v>
      </c>
      <c r="S164" s="2" t="str">
        <f t="shared" si="17"/>
        <v>Highly Viral</v>
      </c>
      <c r="T164" s="2" t="s">
        <v>56</v>
      </c>
      <c r="U164" s="5" t="s">
        <v>32</v>
      </c>
    </row>
    <row r="165" spans="1:21" x14ac:dyDescent="0.3">
      <c r="A165" s="4" t="s">
        <v>225</v>
      </c>
      <c r="B165" s="9">
        <v>45638</v>
      </c>
      <c r="C165" s="4" t="s">
        <v>34</v>
      </c>
      <c r="D165" s="4" t="s">
        <v>60</v>
      </c>
      <c r="E165" s="4" t="s">
        <v>71</v>
      </c>
      <c r="F165" s="4" t="s">
        <v>20</v>
      </c>
      <c r="G165" s="4" t="s">
        <v>21</v>
      </c>
      <c r="H165" s="14">
        <v>27.9</v>
      </c>
      <c r="I165" s="2" t="str">
        <f t="shared" si="15"/>
        <v>Moderate Risk</v>
      </c>
      <c r="J165" s="4">
        <v>64.599999999999994</v>
      </c>
      <c r="K165" s="2" t="str">
        <f t="shared" si="18"/>
        <v>Moderate Confidence</v>
      </c>
      <c r="L165" s="4" t="s">
        <v>22</v>
      </c>
      <c r="M165" s="2" t="str">
        <f t="shared" si="16"/>
        <v>Human Content</v>
      </c>
      <c r="N165" s="4">
        <v>0.94099999999999995</v>
      </c>
      <c r="O165" s="4" t="s">
        <v>22</v>
      </c>
      <c r="P165" s="4">
        <v>2424442</v>
      </c>
      <c r="Q165" s="2" t="str">
        <f t="shared" si="14"/>
        <v>Medium</v>
      </c>
      <c r="R165" s="4">
        <v>6955588</v>
      </c>
      <c r="S165" s="2" t="str">
        <f t="shared" si="17"/>
        <v>Highly Viral</v>
      </c>
      <c r="T165" s="4" t="s">
        <v>24</v>
      </c>
      <c r="U165" s="3" t="s">
        <v>25</v>
      </c>
    </row>
    <row r="166" spans="1:21" x14ac:dyDescent="0.3">
      <c r="A166" s="2" t="s">
        <v>226</v>
      </c>
      <c r="B166" s="8">
        <v>45454</v>
      </c>
      <c r="C166" s="2" t="s">
        <v>54</v>
      </c>
      <c r="D166" s="2" t="s">
        <v>40</v>
      </c>
      <c r="E166" s="2" t="s">
        <v>19</v>
      </c>
      <c r="F166" s="2" t="s">
        <v>52</v>
      </c>
      <c r="G166" s="2" t="s">
        <v>67</v>
      </c>
      <c r="H166" s="13">
        <v>57.3</v>
      </c>
      <c r="I166" s="2" t="str">
        <f t="shared" si="15"/>
        <v>Moderate Risk</v>
      </c>
      <c r="J166" s="2">
        <v>76.599999999999994</v>
      </c>
      <c r="K166" s="2" t="str">
        <f t="shared" si="18"/>
        <v>High Confidence</v>
      </c>
      <c r="L166" s="2" t="s">
        <v>43</v>
      </c>
      <c r="M166" s="2" t="str">
        <f t="shared" si="16"/>
        <v>Human Content</v>
      </c>
      <c r="N166" s="2">
        <v>0.89600000000000002</v>
      </c>
      <c r="O166" s="2" t="s">
        <v>22</v>
      </c>
      <c r="P166" s="2">
        <v>2895299</v>
      </c>
      <c r="Q166" s="2" t="str">
        <f t="shared" si="14"/>
        <v>Medium</v>
      </c>
      <c r="R166" s="2">
        <v>4915423</v>
      </c>
      <c r="S166" s="2" t="str">
        <f t="shared" si="17"/>
        <v>Moderately Viral</v>
      </c>
      <c r="T166" s="2" t="s">
        <v>56</v>
      </c>
      <c r="U166" s="5" t="s">
        <v>32</v>
      </c>
    </row>
    <row r="167" spans="1:21" x14ac:dyDescent="0.3">
      <c r="A167" s="4" t="s">
        <v>227</v>
      </c>
      <c r="B167" s="9">
        <v>45313</v>
      </c>
      <c r="C167" s="4" t="s">
        <v>34</v>
      </c>
      <c r="D167" s="4" t="s">
        <v>18</v>
      </c>
      <c r="E167" s="4" t="s">
        <v>51</v>
      </c>
      <c r="F167" s="4" t="s">
        <v>76</v>
      </c>
      <c r="G167" s="4" t="s">
        <v>42</v>
      </c>
      <c r="H167" s="14">
        <v>25.6</v>
      </c>
      <c r="I167" s="2" t="str">
        <f t="shared" si="15"/>
        <v>Moderate Risk</v>
      </c>
      <c r="J167" s="4">
        <v>73.5</v>
      </c>
      <c r="K167" s="2" t="str">
        <f t="shared" si="18"/>
        <v>High Confidence</v>
      </c>
      <c r="L167" s="4" t="s">
        <v>22</v>
      </c>
      <c r="M167" s="2" t="str">
        <f t="shared" si="16"/>
        <v>Human Content</v>
      </c>
      <c r="N167" s="4">
        <v>0.20200000000000001</v>
      </c>
      <c r="O167" s="4" t="s">
        <v>23</v>
      </c>
      <c r="P167" s="4">
        <v>2274526</v>
      </c>
      <c r="Q167" s="2" t="str">
        <f t="shared" ref="Q167:Q230" si="19">IF(P167&gt;4000000,"High",IF(P167&gt;1000000,"Medium",IF(P167&lt;1000000,"Low")))</f>
        <v>Medium</v>
      </c>
      <c r="R167" s="4">
        <v>18858695</v>
      </c>
      <c r="S167" s="2" t="str">
        <f t="shared" si="17"/>
        <v>Highly Viral</v>
      </c>
      <c r="T167" s="4" t="s">
        <v>56</v>
      </c>
      <c r="U167" s="3" t="s">
        <v>25</v>
      </c>
    </row>
    <row r="168" spans="1:21" x14ac:dyDescent="0.3">
      <c r="A168" s="2" t="s">
        <v>228</v>
      </c>
      <c r="B168" s="8">
        <v>45362</v>
      </c>
      <c r="C168" s="2" t="s">
        <v>17</v>
      </c>
      <c r="D168" s="2" t="s">
        <v>60</v>
      </c>
      <c r="E168" s="2" t="s">
        <v>28</v>
      </c>
      <c r="F168" s="2" t="s">
        <v>20</v>
      </c>
      <c r="G168" s="2" t="s">
        <v>67</v>
      </c>
      <c r="H168" s="13">
        <v>67</v>
      </c>
      <c r="I168" s="2" t="str">
        <f t="shared" si="15"/>
        <v>High Risk</v>
      </c>
      <c r="J168" s="2">
        <v>76</v>
      </c>
      <c r="K168" s="2" t="str">
        <f t="shared" si="18"/>
        <v>High Confidence</v>
      </c>
      <c r="L168" s="2" t="s">
        <v>30</v>
      </c>
      <c r="M168" s="2" t="str">
        <f t="shared" si="16"/>
        <v>AI Generated</v>
      </c>
      <c r="N168" s="2">
        <v>0.63800000000000001</v>
      </c>
      <c r="O168" s="2" t="s">
        <v>30</v>
      </c>
      <c r="P168" s="2">
        <v>840621</v>
      </c>
      <c r="Q168" s="2" t="str">
        <f t="shared" si="19"/>
        <v>Low</v>
      </c>
      <c r="R168" s="2">
        <v>13868592</v>
      </c>
      <c r="S168" s="2" t="str">
        <f t="shared" si="17"/>
        <v>Highly Viral</v>
      </c>
      <c r="T168" s="2" t="s">
        <v>56</v>
      </c>
      <c r="U168" s="6" t="s">
        <v>48</v>
      </c>
    </row>
    <row r="169" spans="1:21" x14ac:dyDescent="0.3">
      <c r="A169" s="4" t="s">
        <v>229</v>
      </c>
      <c r="B169" s="9">
        <v>45533</v>
      </c>
      <c r="C169" s="4" t="s">
        <v>17</v>
      </c>
      <c r="D169" s="4" t="s">
        <v>50</v>
      </c>
      <c r="E169" s="4" t="s">
        <v>47</v>
      </c>
      <c r="F169" s="4" t="s">
        <v>58</v>
      </c>
      <c r="G169" s="4" t="s">
        <v>21</v>
      </c>
      <c r="H169" s="14">
        <v>40.700000000000003</v>
      </c>
      <c r="I169" s="2" t="str">
        <f t="shared" si="15"/>
        <v>Moderate Risk</v>
      </c>
      <c r="J169" s="4">
        <v>95.8</v>
      </c>
      <c r="K169" s="2" t="str">
        <f t="shared" si="18"/>
        <v>High Confidence</v>
      </c>
      <c r="L169" s="4" t="s">
        <v>43</v>
      </c>
      <c r="M169" s="2" t="str">
        <f t="shared" si="16"/>
        <v>Human Content</v>
      </c>
      <c r="N169" s="4">
        <v>0.878</v>
      </c>
      <c r="O169" s="4" t="s">
        <v>22</v>
      </c>
      <c r="P169" s="4">
        <v>1673257</v>
      </c>
      <c r="Q169" s="2" t="str">
        <f t="shared" si="19"/>
        <v>Medium</v>
      </c>
      <c r="R169" s="4">
        <v>9638844</v>
      </c>
      <c r="S169" s="2" t="str">
        <f t="shared" si="17"/>
        <v>Highly Viral</v>
      </c>
      <c r="T169" s="4" t="s">
        <v>56</v>
      </c>
      <c r="U169" s="5" t="s">
        <v>32</v>
      </c>
    </row>
    <row r="170" spans="1:21" x14ac:dyDescent="0.3">
      <c r="A170" s="2" t="s">
        <v>230</v>
      </c>
      <c r="B170" s="8">
        <v>45438</v>
      </c>
      <c r="C170" s="2" t="s">
        <v>27</v>
      </c>
      <c r="D170" s="2" t="s">
        <v>18</v>
      </c>
      <c r="E170" s="2" t="s">
        <v>28</v>
      </c>
      <c r="F170" s="2" t="s">
        <v>58</v>
      </c>
      <c r="G170" s="2" t="s">
        <v>42</v>
      </c>
      <c r="H170" s="13">
        <v>72.3</v>
      </c>
      <c r="I170" s="2" t="str">
        <f t="shared" si="15"/>
        <v>High Risk</v>
      </c>
      <c r="J170" s="2">
        <v>95.9</v>
      </c>
      <c r="K170" s="2" t="str">
        <f t="shared" si="18"/>
        <v>High Confidence</v>
      </c>
      <c r="L170" s="2" t="s">
        <v>30</v>
      </c>
      <c r="M170" s="2" t="str">
        <f t="shared" si="16"/>
        <v>AI Generated</v>
      </c>
      <c r="N170" s="2">
        <v>0.91300000000000003</v>
      </c>
      <c r="O170" s="2" t="s">
        <v>30</v>
      </c>
      <c r="P170" s="2">
        <v>3505573</v>
      </c>
      <c r="Q170" s="2" t="str">
        <f t="shared" si="19"/>
        <v>Medium</v>
      </c>
      <c r="R170" s="2">
        <v>5898990</v>
      </c>
      <c r="S170" s="2" t="str">
        <f t="shared" si="17"/>
        <v>Highly Viral</v>
      </c>
      <c r="T170" s="2" t="s">
        <v>61</v>
      </c>
      <c r="U170" s="6" t="s">
        <v>48</v>
      </c>
    </row>
    <row r="171" spans="1:21" x14ac:dyDescent="0.3">
      <c r="A171" s="4" t="s">
        <v>231</v>
      </c>
      <c r="B171" s="9">
        <v>45495</v>
      </c>
      <c r="C171" s="4" t="s">
        <v>54</v>
      </c>
      <c r="D171" s="4" t="s">
        <v>50</v>
      </c>
      <c r="E171" s="4" t="s">
        <v>19</v>
      </c>
      <c r="F171" s="4" t="s">
        <v>41</v>
      </c>
      <c r="G171" s="4" t="s">
        <v>67</v>
      </c>
      <c r="H171" s="14">
        <v>29.8</v>
      </c>
      <c r="I171" s="2" t="str">
        <f t="shared" si="15"/>
        <v>Moderate Risk</v>
      </c>
      <c r="J171" s="4">
        <v>79.5</v>
      </c>
      <c r="K171" s="2" t="str">
        <f t="shared" si="18"/>
        <v>High Confidence</v>
      </c>
      <c r="L171" s="4" t="s">
        <v>22</v>
      </c>
      <c r="M171" s="2" t="str">
        <f t="shared" si="16"/>
        <v>Human Content</v>
      </c>
      <c r="N171" s="4">
        <v>0.92800000000000005</v>
      </c>
      <c r="O171" s="4" t="s">
        <v>22</v>
      </c>
      <c r="P171" s="4">
        <v>2387176</v>
      </c>
      <c r="Q171" s="2" t="str">
        <f t="shared" si="19"/>
        <v>Medium</v>
      </c>
      <c r="R171" s="4">
        <v>15245925</v>
      </c>
      <c r="S171" s="2" t="str">
        <f t="shared" si="17"/>
        <v>Highly Viral</v>
      </c>
      <c r="T171" s="4" t="s">
        <v>44</v>
      </c>
      <c r="U171" s="3" t="s">
        <v>25</v>
      </c>
    </row>
    <row r="172" spans="1:21" x14ac:dyDescent="0.3">
      <c r="A172" s="2" t="s">
        <v>232</v>
      </c>
      <c r="B172" s="8">
        <v>45560</v>
      </c>
      <c r="C172" s="2" t="s">
        <v>54</v>
      </c>
      <c r="D172" s="2" t="s">
        <v>50</v>
      </c>
      <c r="E172" s="2" t="s">
        <v>71</v>
      </c>
      <c r="F172" s="2" t="s">
        <v>52</v>
      </c>
      <c r="G172" s="2" t="s">
        <v>21</v>
      </c>
      <c r="H172" s="13">
        <v>80.900000000000006</v>
      </c>
      <c r="I172" s="2" t="str">
        <f t="shared" si="15"/>
        <v>High Risk</v>
      </c>
      <c r="J172" s="2">
        <v>66.2</v>
      </c>
      <c r="K172" s="2" t="str">
        <f t="shared" si="18"/>
        <v>Moderate Confidence</v>
      </c>
      <c r="L172" s="2" t="s">
        <v>30</v>
      </c>
      <c r="M172" s="2" t="str">
        <f t="shared" si="16"/>
        <v>AI Generated</v>
      </c>
      <c r="N172" s="2">
        <v>0.73099999999999998</v>
      </c>
      <c r="O172" s="2" t="s">
        <v>23</v>
      </c>
      <c r="P172" s="2">
        <v>2158194</v>
      </c>
      <c r="Q172" s="2" t="str">
        <f t="shared" si="19"/>
        <v>Medium</v>
      </c>
      <c r="R172" s="2">
        <v>6248304</v>
      </c>
      <c r="S172" s="2" t="str">
        <f t="shared" si="17"/>
        <v>Highly Viral</v>
      </c>
      <c r="T172" s="2" t="s">
        <v>61</v>
      </c>
      <c r="U172" s="6" t="s">
        <v>48</v>
      </c>
    </row>
    <row r="173" spans="1:21" x14ac:dyDescent="0.3">
      <c r="A173" s="4" t="s">
        <v>233</v>
      </c>
      <c r="B173" s="9">
        <v>45464</v>
      </c>
      <c r="C173" s="4" t="s">
        <v>34</v>
      </c>
      <c r="D173" s="4" t="s">
        <v>60</v>
      </c>
      <c r="E173" s="4" t="s">
        <v>28</v>
      </c>
      <c r="F173" s="4" t="s">
        <v>20</v>
      </c>
      <c r="G173" s="4" t="s">
        <v>29</v>
      </c>
      <c r="H173" s="14">
        <v>85.6</v>
      </c>
      <c r="I173" s="2" t="str">
        <f t="shared" si="15"/>
        <v>High Risk</v>
      </c>
      <c r="J173" s="4">
        <v>94</v>
      </c>
      <c r="K173" s="2" t="str">
        <f t="shared" si="18"/>
        <v>High Confidence</v>
      </c>
      <c r="L173" s="4" t="s">
        <v>30</v>
      </c>
      <c r="M173" s="2" t="str">
        <f t="shared" si="16"/>
        <v>AI Generated</v>
      </c>
      <c r="N173" s="4">
        <v>0.82699999999999996</v>
      </c>
      <c r="O173" s="4" t="s">
        <v>23</v>
      </c>
      <c r="P173" s="4">
        <v>2750948</v>
      </c>
      <c r="Q173" s="2" t="str">
        <f t="shared" si="19"/>
        <v>Medium</v>
      </c>
      <c r="R173" s="4">
        <v>2910936</v>
      </c>
      <c r="S173" s="2" t="str">
        <f t="shared" si="17"/>
        <v>Moderately Viral</v>
      </c>
      <c r="T173" s="4" t="s">
        <v>24</v>
      </c>
      <c r="U173" s="6" t="s">
        <v>48</v>
      </c>
    </row>
    <row r="174" spans="1:21" x14ac:dyDescent="0.3">
      <c r="A174" s="2" t="s">
        <v>234</v>
      </c>
      <c r="B174" s="8">
        <v>45634</v>
      </c>
      <c r="C174" s="2" t="s">
        <v>17</v>
      </c>
      <c r="D174" s="2" t="s">
        <v>50</v>
      </c>
      <c r="E174" s="2" t="s">
        <v>35</v>
      </c>
      <c r="F174" s="2" t="s">
        <v>76</v>
      </c>
      <c r="G174" s="2" t="s">
        <v>64</v>
      </c>
      <c r="H174" s="13">
        <v>93.6</v>
      </c>
      <c r="I174" s="2" t="str">
        <f t="shared" si="15"/>
        <v>High Risk</v>
      </c>
      <c r="J174" s="2">
        <v>50.3</v>
      </c>
      <c r="K174" s="2" t="str">
        <f t="shared" si="18"/>
        <v>Moderate Confidence</v>
      </c>
      <c r="L174" s="2" t="s">
        <v>30</v>
      </c>
      <c r="M174" s="2" t="str">
        <f t="shared" si="16"/>
        <v>AI Generated</v>
      </c>
      <c r="N174" s="2">
        <v>0.38400000000000001</v>
      </c>
      <c r="O174" s="2" t="s">
        <v>22</v>
      </c>
      <c r="P174" s="2">
        <v>2239810</v>
      </c>
      <c r="Q174" s="2" t="str">
        <f t="shared" si="19"/>
        <v>Medium</v>
      </c>
      <c r="R174" s="2">
        <v>11060889</v>
      </c>
      <c r="S174" s="2" t="str">
        <f t="shared" si="17"/>
        <v>Highly Viral</v>
      </c>
      <c r="T174" s="2" t="s">
        <v>56</v>
      </c>
      <c r="U174" s="6" t="s">
        <v>48</v>
      </c>
    </row>
    <row r="175" spans="1:21" x14ac:dyDescent="0.3">
      <c r="A175" s="4" t="s">
        <v>235</v>
      </c>
      <c r="B175" s="9">
        <v>45590</v>
      </c>
      <c r="C175" s="4" t="s">
        <v>27</v>
      </c>
      <c r="D175" s="4" t="s">
        <v>40</v>
      </c>
      <c r="E175" s="4" t="s">
        <v>51</v>
      </c>
      <c r="F175" s="4" t="s">
        <v>36</v>
      </c>
      <c r="G175" s="4" t="s">
        <v>21</v>
      </c>
      <c r="H175" s="14">
        <v>6.2</v>
      </c>
      <c r="I175" s="2" t="str">
        <f t="shared" si="15"/>
        <v>Moderate Risk</v>
      </c>
      <c r="J175" s="4">
        <v>55.8</v>
      </c>
      <c r="K175" s="2" t="str">
        <f t="shared" si="18"/>
        <v>Moderate Confidence</v>
      </c>
      <c r="L175" s="4" t="s">
        <v>22</v>
      </c>
      <c r="M175" s="2" t="str">
        <f t="shared" si="16"/>
        <v>Human Content</v>
      </c>
      <c r="N175" s="4">
        <v>0.307</v>
      </c>
      <c r="O175" s="4" t="s">
        <v>22</v>
      </c>
      <c r="P175" s="4">
        <v>4215547</v>
      </c>
      <c r="Q175" s="2" t="str">
        <f t="shared" si="19"/>
        <v>High</v>
      </c>
      <c r="R175" s="4">
        <v>10435188</v>
      </c>
      <c r="S175" s="2" t="str">
        <f t="shared" si="17"/>
        <v>Highly Viral</v>
      </c>
      <c r="T175" s="4" t="s">
        <v>61</v>
      </c>
      <c r="U175" s="3" t="s">
        <v>25</v>
      </c>
    </row>
    <row r="176" spans="1:21" x14ac:dyDescent="0.3">
      <c r="A176" s="2" t="s">
        <v>236</v>
      </c>
      <c r="B176" s="8">
        <v>45619</v>
      </c>
      <c r="C176" s="2" t="s">
        <v>34</v>
      </c>
      <c r="D176" s="2" t="s">
        <v>40</v>
      </c>
      <c r="E176" s="2" t="s">
        <v>28</v>
      </c>
      <c r="F176" s="2" t="s">
        <v>20</v>
      </c>
      <c r="G176" s="2" t="s">
        <v>21</v>
      </c>
      <c r="H176" s="13">
        <v>47.8</v>
      </c>
      <c r="I176" s="2" t="str">
        <f t="shared" si="15"/>
        <v>Moderate Risk</v>
      </c>
      <c r="J176" s="2">
        <v>72.3</v>
      </c>
      <c r="K176" s="2" t="str">
        <f t="shared" si="18"/>
        <v>High Confidence</v>
      </c>
      <c r="L176" s="2" t="s">
        <v>43</v>
      </c>
      <c r="M176" s="2" t="str">
        <f t="shared" si="16"/>
        <v>Human Content</v>
      </c>
      <c r="N176" s="2">
        <v>0.98899999999999999</v>
      </c>
      <c r="O176" s="2" t="s">
        <v>22</v>
      </c>
      <c r="P176" s="2">
        <v>3488465</v>
      </c>
      <c r="Q176" s="2" t="str">
        <f t="shared" si="19"/>
        <v>Medium</v>
      </c>
      <c r="R176" s="2">
        <v>18429751</v>
      </c>
      <c r="S176" s="2" t="str">
        <f t="shared" si="17"/>
        <v>Highly Viral</v>
      </c>
      <c r="T176" s="2" t="s">
        <v>24</v>
      </c>
      <c r="U176" s="5" t="s">
        <v>32</v>
      </c>
    </row>
    <row r="177" spans="1:21" x14ac:dyDescent="0.3">
      <c r="A177" s="4" t="s">
        <v>237</v>
      </c>
      <c r="B177" s="9">
        <v>45567</v>
      </c>
      <c r="C177" s="4" t="s">
        <v>46</v>
      </c>
      <c r="D177" s="4" t="s">
        <v>50</v>
      </c>
      <c r="E177" s="4" t="s">
        <v>73</v>
      </c>
      <c r="F177" s="4" t="s">
        <v>58</v>
      </c>
      <c r="G177" s="4" t="s">
        <v>37</v>
      </c>
      <c r="H177" s="14">
        <v>52.8</v>
      </c>
      <c r="I177" s="2" t="str">
        <f t="shared" si="15"/>
        <v>Moderate Risk</v>
      </c>
      <c r="J177" s="4">
        <v>67.7</v>
      </c>
      <c r="K177" s="2" t="str">
        <f t="shared" si="18"/>
        <v>Moderate Confidence</v>
      </c>
      <c r="L177" s="4" t="s">
        <v>43</v>
      </c>
      <c r="M177" s="2" t="str">
        <f t="shared" si="16"/>
        <v>Human Content</v>
      </c>
      <c r="N177" s="4">
        <v>0.91700000000000004</v>
      </c>
      <c r="O177" s="4" t="s">
        <v>30</v>
      </c>
      <c r="P177" s="4">
        <v>518164</v>
      </c>
      <c r="Q177" s="2" t="str">
        <f t="shared" si="19"/>
        <v>Low</v>
      </c>
      <c r="R177" s="4">
        <v>18376559</v>
      </c>
      <c r="S177" s="2" t="str">
        <f t="shared" si="17"/>
        <v>Highly Viral</v>
      </c>
      <c r="T177" s="4" t="s">
        <v>44</v>
      </c>
      <c r="U177" s="5" t="s">
        <v>32</v>
      </c>
    </row>
    <row r="178" spans="1:21" x14ac:dyDescent="0.3">
      <c r="A178" s="2" t="s">
        <v>238</v>
      </c>
      <c r="B178" s="8">
        <v>45395</v>
      </c>
      <c r="C178" s="2" t="s">
        <v>69</v>
      </c>
      <c r="D178" s="2" t="s">
        <v>50</v>
      </c>
      <c r="E178" s="2" t="s">
        <v>51</v>
      </c>
      <c r="F178" s="2" t="s">
        <v>58</v>
      </c>
      <c r="G178" s="2" t="s">
        <v>37</v>
      </c>
      <c r="H178" s="13">
        <v>11.6</v>
      </c>
      <c r="I178" s="2" t="str">
        <f t="shared" si="15"/>
        <v>Moderate Risk</v>
      </c>
      <c r="J178" s="2">
        <v>60.1</v>
      </c>
      <c r="K178" s="2" t="str">
        <f t="shared" si="18"/>
        <v>Moderate Confidence</v>
      </c>
      <c r="L178" s="2" t="s">
        <v>22</v>
      </c>
      <c r="M178" s="2" t="str">
        <f t="shared" si="16"/>
        <v>Human Content</v>
      </c>
      <c r="N178" s="2">
        <v>0.58299999999999996</v>
      </c>
      <c r="O178" s="2" t="s">
        <v>30</v>
      </c>
      <c r="P178" s="2">
        <v>4281438</v>
      </c>
      <c r="Q178" s="2" t="str">
        <f t="shared" si="19"/>
        <v>High</v>
      </c>
      <c r="R178" s="2">
        <v>14948418</v>
      </c>
      <c r="S178" s="2" t="str">
        <f t="shared" si="17"/>
        <v>Highly Viral</v>
      </c>
      <c r="T178" s="2" t="s">
        <v>61</v>
      </c>
      <c r="U178" s="3" t="s">
        <v>25</v>
      </c>
    </row>
    <row r="179" spans="1:21" x14ac:dyDescent="0.3">
      <c r="A179" s="4" t="s">
        <v>239</v>
      </c>
      <c r="B179" s="9">
        <v>45524</v>
      </c>
      <c r="C179" s="4" t="s">
        <v>69</v>
      </c>
      <c r="D179" s="4" t="s">
        <v>60</v>
      </c>
      <c r="E179" s="4" t="s">
        <v>88</v>
      </c>
      <c r="F179" s="4" t="s">
        <v>76</v>
      </c>
      <c r="G179" s="4" t="s">
        <v>29</v>
      </c>
      <c r="H179" s="14">
        <v>5.8</v>
      </c>
      <c r="I179" s="2" t="str">
        <f t="shared" si="15"/>
        <v>Moderate Risk</v>
      </c>
      <c r="J179" s="4">
        <v>72.7</v>
      </c>
      <c r="K179" s="2" t="str">
        <f t="shared" si="18"/>
        <v>High Confidence</v>
      </c>
      <c r="L179" s="4" t="s">
        <v>22</v>
      </c>
      <c r="M179" s="2" t="str">
        <f t="shared" si="16"/>
        <v>Human Content</v>
      </c>
      <c r="N179" s="4">
        <v>0.80700000000000005</v>
      </c>
      <c r="O179" s="4" t="s">
        <v>23</v>
      </c>
      <c r="P179" s="4">
        <v>182723</v>
      </c>
      <c r="Q179" s="2" t="str">
        <f t="shared" si="19"/>
        <v>Low</v>
      </c>
      <c r="R179" s="4">
        <v>13286334</v>
      </c>
      <c r="S179" s="2" t="str">
        <f t="shared" si="17"/>
        <v>Highly Viral</v>
      </c>
      <c r="T179" s="4" t="s">
        <v>56</v>
      </c>
      <c r="U179" s="3" t="s">
        <v>25</v>
      </c>
    </row>
    <row r="180" spans="1:21" x14ac:dyDescent="0.3">
      <c r="A180" s="2" t="s">
        <v>240</v>
      </c>
      <c r="B180" s="8">
        <v>45293</v>
      </c>
      <c r="C180" s="2" t="s">
        <v>46</v>
      </c>
      <c r="D180" s="2" t="s">
        <v>60</v>
      </c>
      <c r="E180" s="2" t="s">
        <v>73</v>
      </c>
      <c r="F180" s="2" t="s">
        <v>41</v>
      </c>
      <c r="G180" s="2" t="s">
        <v>37</v>
      </c>
      <c r="H180" s="13">
        <v>34.5</v>
      </c>
      <c r="I180" s="2" t="str">
        <f t="shared" si="15"/>
        <v>Moderate Risk</v>
      </c>
      <c r="J180" s="2">
        <v>53.1</v>
      </c>
      <c r="K180" s="2" t="str">
        <f t="shared" si="18"/>
        <v>Moderate Confidence</v>
      </c>
      <c r="L180" s="2" t="s">
        <v>22</v>
      </c>
      <c r="M180" s="2" t="str">
        <f t="shared" si="16"/>
        <v>Human Content</v>
      </c>
      <c r="N180" s="2">
        <v>0.99399999999999999</v>
      </c>
      <c r="O180" s="2" t="s">
        <v>30</v>
      </c>
      <c r="P180" s="2">
        <v>3960120</v>
      </c>
      <c r="Q180" s="2" t="str">
        <f t="shared" si="19"/>
        <v>Medium</v>
      </c>
      <c r="R180" s="2">
        <v>1065345</v>
      </c>
      <c r="S180" s="2" t="str">
        <f t="shared" si="17"/>
        <v>Moderately Viral</v>
      </c>
      <c r="T180" s="2" t="s">
        <v>56</v>
      </c>
      <c r="U180" s="3" t="s">
        <v>25</v>
      </c>
    </row>
    <row r="181" spans="1:21" x14ac:dyDescent="0.3">
      <c r="A181" s="4" t="s">
        <v>241</v>
      </c>
      <c r="B181" s="9">
        <v>45501</v>
      </c>
      <c r="C181" s="4" t="s">
        <v>69</v>
      </c>
      <c r="D181" s="4" t="s">
        <v>50</v>
      </c>
      <c r="E181" s="4" t="s">
        <v>88</v>
      </c>
      <c r="F181" s="4" t="s">
        <v>52</v>
      </c>
      <c r="G181" s="4" t="s">
        <v>37</v>
      </c>
      <c r="H181" s="14">
        <v>44.9</v>
      </c>
      <c r="I181" s="2" t="str">
        <f t="shared" si="15"/>
        <v>Moderate Risk</v>
      </c>
      <c r="J181" s="4">
        <v>94.9</v>
      </c>
      <c r="K181" s="2" t="str">
        <f t="shared" si="18"/>
        <v>High Confidence</v>
      </c>
      <c r="L181" s="4" t="s">
        <v>43</v>
      </c>
      <c r="M181" s="2" t="str">
        <f t="shared" si="16"/>
        <v>Human Content</v>
      </c>
      <c r="N181" s="4">
        <v>0.377</v>
      </c>
      <c r="O181" s="4" t="s">
        <v>30</v>
      </c>
      <c r="P181" s="4">
        <v>4524078</v>
      </c>
      <c r="Q181" s="2" t="str">
        <f t="shared" si="19"/>
        <v>High</v>
      </c>
      <c r="R181" s="4">
        <v>4462897</v>
      </c>
      <c r="S181" s="2" t="str">
        <f t="shared" si="17"/>
        <v>Moderately Viral</v>
      </c>
      <c r="T181" s="4" t="s">
        <v>56</v>
      </c>
      <c r="U181" s="5" t="s">
        <v>32</v>
      </c>
    </row>
    <row r="182" spans="1:21" x14ac:dyDescent="0.3">
      <c r="A182" s="2" t="s">
        <v>242</v>
      </c>
      <c r="B182" s="8">
        <v>45352</v>
      </c>
      <c r="C182" s="2" t="s">
        <v>69</v>
      </c>
      <c r="D182" s="2" t="s">
        <v>60</v>
      </c>
      <c r="E182" s="2" t="s">
        <v>88</v>
      </c>
      <c r="F182" s="2" t="s">
        <v>58</v>
      </c>
      <c r="G182" s="2" t="s">
        <v>21</v>
      </c>
      <c r="H182" s="13">
        <v>72.8</v>
      </c>
      <c r="I182" s="2" t="str">
        <f t="shared" si="15"/>
        <v>High Risk</v>
      </c>
      <c r="J182" s="2">
        <v>60.9</v>
      </c>
      <c r="K182" s="2" t="str">
        <f t="shared" si="18"/>
        <v>Moderate Confidence</v>
      </c>
      <c r="L182" s="2" t="s">
        <v>30</v>
      </c>
      <c r="M182" s="2" t="str">
        <f t="shared" si="16"/>
        <v>AI Generated</v>
      </c>
      <c r="N182" s="2">
        <v>3.0000000000000001E-3</v>
      </c>
      <c r="O182" s="2" t="s">
        <v>30</v>
      </c>
      <c r="P182" s="2">
        <v>2502950</v>
      </c>
      <c r="Q182" s="2" t="str">
        <f t="shared" si="19"/>
        <v>Medium</v>
      </c>
      <c r="R182" s="2">
        <v>15536332</v>
      </c>
      <c r="S182" s="2" t="str">
        <f t="shared" si="17"/>
        <v>Highly Viral</v>
      </c>
      <c r="T182" s="2" t="s">
        <v>44</v>
      </c>
      <c r="U182" s="6" t="s">
        <v>48</v>
      </c>
    </row>
    <row r="183" spans="1:21" x14ac:dyDescent="0.3">
      <c r="A183" s="4" t="s">
        <v>243</v>
      </c>
      <c r="B183" s="9">
        <v>45509</v>
      </c>
      <c r="C183" s="4" t="s">
        <v>78</v>
      </c>
      <c r="D183" s="4" t="s">
        <v>50</v>
      </c>
      <c r="E183" s="4" t="s">
        <v>28</v>
      </c>
      <c r="F183" s="4" t="s">
        <v>76</v>
      </c>
      <c r="G183" s="4" t="s">
        <v>64</v>
      </c>
      <c r="H183" s="14">
        <v>15.5</v>
      </c>
      <c r="I183" s="2" t="str">
        <f t="shared" si="15"/>
        <v>Moderate Risk</v>
      </c>
      <c r="J183" s="4">
        <v>59.2</v>
      </c>
      <c r="K183" s="2" t="str">
        <f t="shared" si="18"/>
        <v>Moderate Confidence</v>
      </c>
      <c r="L183" s="4" t="s">
        <v>22</v>
      </c>
      <c r="M183" s="2" t="str">
        <f t="shared" si="16"/>
        <v>Human Content</v>
      </c>
      <c r="N183" s="4">
        <v>0.875</v>
      </c>
      <c r="O183" s="4" t="s">
        <v>30</v>
      </c>
      <c r="P183" s="4">
        <v>270358</v>
      </c>
      <c r="Q183" s="2" t="str">
        <f t="shared" si="19"/>
        <v>Low</v>
      </c>
      <c r="R183" s="4">
        <v>14067880</v>
      </c>
      <c r="S183" s="2" t="str">
        <f t="shared" si="17"/>
        <v>Highly Viral</v>
      </c>
      <c r="T183" s="4" t="s">
        <v>44</v>
      </c>
      <c r="U183" s="3" t="s">
        <v>25</v>
      </c>
    </row>
    <row r="184" spans="1:21" x14ac:dyDescent="0.3">
      <c r="A184" s="2" t="s">
        <v>244</v>
      </c>
      <c r="B184" s="8">
        <v>45300</v>
      </c>
      <c r="C184" s="2" t="s">
        <v>46</v>
      </c>
      <c r="D184" s="2" t="s">
        <v>50</v>
      </c>
      <c r="E184" s="2" t="s">
        <v>73</v>
      </c>
      <c r="F184" s="2" t="s">
        <v>41</v>
      </c>
      <c r="G184" s="2" t="s">
        <v>29</v>
      </c>
      <c r="H184" s="13">
        <v>3.4</v>
      </c>
      <c r="I184" s="2" t="str">
        <f t="shared" si="15"/>
        <v>Moderate Risk</v>
      </c>
      <c r="J184" s="2">
        <v>79.3</v>
      </c>
      <c r="K184" s="2" t="str">
        <f t="shared" si="18"/>
        <v>High Confidence</v>
      </c>
      <c r="L184" s="2" t="s">
        <v>22</v>
      </c>
      <c r="M184" s="2" t="str">
        <f t="shared" si="16"/>
        <v>Human Content</v>
      </c>
      <c r="N184" s="2">
        <v>0.70299999999999996</v>
      </c>
      <c r="O184" s="2" t="s">
        <v>30</v>
      </c>
      <c r="P184" s="2">
        <v>2053078</v>
      </c>
      <c r="Q184" s="2" t="str">
        <f t="shared" si="19"/>
        <v>Medium</v>
      </c>
      <c r="R184" s="2">
        <v>1484838</v>
      </c>
      <c r="S184" s="2" t="str">
        <f t="shared" si="17"/>
        <v>Moderately Viral</v>
      </c>
      <c r="T184" s="2" t="s">
        <v>24</v>
      </c>
      <c r="U184" s="3" t="s">
        <v>25</v>
      </c>
    </row>
    <row r="185" spans="1:21" x14ac:dyDescent="0.3">
      <c r="A185" s="4" t="s">
        <v>245</v>
      </c>
      <c r="B185" s="9">
        <v>45516</v>
      </c>
      <c r="C185" s="4" t="s">
        <v>46</v>
      </c>
      <c r="D185" s="4" t="s">
        <v>60</v>
      </c>
      <c r="E185" s="4" t="s">
        <v>28</v>
      </c>
      <c r="F185" s="4" t="s">
        <v>41</v>
      </c>
      <c r="G185" s="4" t="s">
        <v>21</v>
      </c>
      <c r="H185" s="14">
        <v>50.4</v>
      </c>
      <c r="I185" s="2" t="str">
        <f t="shared" si="15"/>
        <v>Moderate Risk</v>
      </c>
      <c r="J185" s="4">
        <v>64.2</v>
      </c>
      <c r="K185" s="2" t="str">
        <f t="shared" si="18"/>
        <v>Moderate Confidence</v>
      </c>
      <c r="L185" s="4" t="s">
        <v>43</v>
      </c>
      <c r="M185" s="2" t="str">
        <f t="shared" si="16"/>
        <v>Human Content</v>
      </c>
      <c r="N185" s="4">
        <v>0.81599999999999995</v>
      </c>
      <c r="O185" s="4" t="s">
        <v>23</v>
      </c>
      <c r="P185" s="4">
        <v>4832863</v>
      </c>
      <c r="Q185" s="2" t="str">
        <f t="shared" si="19"/>
        <v>High</v>
      </c>
      <c r="R185" s="4">
        <v>10701132</v>
      </c>
      <c r="S185" s="2" t="str">
        <f t="shared" si="17"/>
        <v>Highly Viral</v>
      </c>
      <c r="T185" s="4" t="s">
        <v>44</v>
      </c>
      <c r="U185" s="5" t="s">
        <v>32</v>
      </c>
    </row>
    <row r="186" spans="1:21" x14ac:dyDescent="0.3">
      <c r="A186" s="2" t="s">
        <v>246</v>
      </c>
      <c r="B186" s="8">
        <v>45598</v>
      </c>
      <c r="C186" s="2" t="s">
        <v>39</v>
      </c>
      <c r="D186" s="2" t="s">
        <v>50</v>
      </c>
      <c r="E186" s="2" t="s">
        <v>19</v>
      </c>
      <c r="F186" s="2" t="s">
        <v>20</v>
      </c>
      <c r="G186" s="2" t="s">
        <v>42</v>
      </c>
      <c r="H186" s="13">
        <v>52.1</v>
      </c>
      <c r="I186" s="2" t="str">
        <f t="shared" si="15"/>
        <v>Moderate Risk</v>
      </c>
      <c r="J186" s="2">
        <v>70.3</v>
      </c>
      <c r="K186" s="2" t="str">
        <f t="shared" si="18"/>
        <v>High Confidence</v>
      </c>
      <c r="L186" s="2" t="s">
        <v>43</v>
      </c>
      <c r="M186" s="2" t="str">
        <f t="shared" si="16"/>
        <v>Human Content</v>
      </c>
      <c r="N186" s="2">
        <v>0.27500000000000002</v>
      </c>
      <c r="O186" s="2" t="s">
        <v>23</v>
      </c>
      <c r="P186" s="2">
        <v>4963363</v>
      </c>
      <c r="Q186" s="2" t="str">
        <f t="shared" si="19"/>
        <v>High</v>
      </c>
      <c r="R186" s="2">
        <v>5876994</v>
      </c>
      <c r="S186" s="2" t="str">
        <f t="shared" si="17"/>
        <v>Highly Viral</v>
      </c>
      <c r="T186" s="2" t="s">
        <v>24</v>
      </c>
      <c r="U186" s="5" t="s">
        <v>32</v>
      </c>
    </row>
    <row r="187" spans="1:21" x14ac:dyDescent="0.3">
      <c r="A187" s="4" t="s">
        <v>247</v>
      </c>
      <c r="B187" s="9">
        <v>45576</v>
      </c>
      <c r="C187" s="4" t="s">
        <v>54</v>
      </c>
      <c r="D187" s="4" t="s">
        <v>18</v>
      </c>
      <c r="E187" s="4" t="s">
        <v>51</v>
      </c>
      <c r="F187" s="4" t="s">
        <v>36</v>
      </c>
      <c r="G187" s="4" t="s">
        <v>42</v>
      </c>
      <c r="H187" s="14">
        <v>38.1</v>
      </c>
      <c r="I187" s="2" t="str">
        <f t="shared" si="15"/>
        <v>Moderate Risk</v>
      </c>
      <c r="J187" s="4">
        <v>75.7</v>
      </c>
      <c r="K187" s="2" t="str">
        <f t="shared" si="18"/>
        <v>High Confidence</v>
      </c>
      <c r="L187" s="4" t="s">
        <v>43</v>
      </c>
      <c r="M187" s="2" t="str">
        <f t="shared" si="16"/>
        <v>Human Content</v>
      </c>
      <c r="N187" s="4">
        <v>0.69599999999999995</v>
      </c>
      <c r="O187" s="4" t="s">
        <v>22</v>
      </c>
      <c r="P187" s="4">
        <v>1251828</v>
      </c>
      <c r="Q187" s="2" t="str">
        <f t="shared" si="19"/>
        <v>Medium</v>
      </c>
      <c r="R187" s="4">
        <v>10063088</v>
      </c>
      <c r="S187" s="2" t="str">
        <f t="shared" si="17"/>
        <v>Highly Viral</v>
      </c>
      <c r="T187" s="4" t="s">
        <v>24</v>
      </c>
      <c r="U187" s="5" t="s">
        <v>32</v>
      </c>
    </row>
    <row r="188" spans="1:21" x14ac:dyDescent="0.3">
      <c r="A188" s="2" t="s">
        <v>248</v>
      </c>
      <c r="B188" s="8">
        <v>45386</v>
      </c>
      <c r="C188" s="2" t="s">
        <v>54</v>
      </c>
      <c r="D188" s="2" t="s">
        <v>50</v>
      </c>
      <c r="E188" s="2" t="s">
        <v>28</v>
      </c>
      <c r="F188" s="2" t="s">
        <v>52</v>
      </c>
      <c r="G188" s="2" t="s">
        <v>74</v>
      </c>
      <c r="H188" s="13">
        <v>70.8</v>
      </c>
      <c r="I188" s="2" t="str">
        <f t="shared" si="15"/>
        <v>High Risk</v>
      </c>
      <c r="J188" s="2">
        <v>89.5</v>
      </c>
      <c r="K188" s="2" t="str">
        <f t="shared" si="18"/>
        <v>High Confidence</v>
      </c>
      <c r="L188" s="2" t="s">
        <v>30</v>
      </c>
      <c r="M188" s="2" t="str">
        <f t="shared" si="16"/>
        <v>AI Generated</v>
      </c>
      <c r="N188" s="2">
        <v>0.91500000000000004</v>
      </c>
      <c r="O188" s="2" t="s">
        <v>23</v>
      </c>
      <c r="P188" s="2">
        <v>3461889</v>
      </c>
      <c r="Q188" s="2" t="str">
        <f t="shared" si="19"/>
        <v>Medium</v>
      </c>
      <c r="R188" s="2">
        <v>13976184</v>
      </c>
      <c r="S188" s="2" t="str">
        <f t="shared" si="17"/>
        <v>Highly Viral</v>
      </c>
      <c r="T188" s="2" t="s">
        <v>44</v>
      </c>
      <c r="U188" s="6" t="s">
        <v>48</v>
      </c>
    </row>
    <row r="189" spans="1:21" x14ac:dyDescent="0.3">
      <c r="A189" s="4" t="s">
        <v>249</v>
      </c>
      <c r="B189" s="9">
        <v>45563</v>
      </c>
      <c r="C189" s="4" t="s">
        <v>69</v>
      </c>
      <c r="D189" s="4" t="s">
        <v>55</v>
      </c>
      <c r="E189" s="4" t="s">
        <v>28</v>
      </c>
      <c r="F189" s="4" t="s">
        <v>52</v>
      </c>
      <c r="G189" s="4" t="s">
        <v>21</v>
      </c>
      <c r="H189" s="14">
        <v>33</v>
      </c>
      <c r="I189" s="2" t="str">
        <f t="shared" si="15"/>
        <v>Moderate Risk</v>
      </c>
      <c r="J189" s="4">
        <v>53.9</v>
      </c>
      <c r="K189" s="2" t="str">
        <f t="shared" si="18"/>
        <v>Moderate Confidence</v>
      </c>
      <c r="L189" s="4" t="s">
        <v>22</v>
      </c>
      <c r="M189" s="2" t="str">
        <f t="shared" si="16"/>
        <v>Human Content</v>
      </c>
      <c r="N189" s="4">
        <v>0.45</v>
      </c>
      <c r="O189" s="4" t="s">
        <v>22</v>
      </c>
      <c r="P189" s="4">
        <v>775744</v>
      </c>
      <c r="Q189" s="2" t="str">
        <f t="shared" si="19"/>
        <v>Low</v>
      </c>
      <c r="R189" s="4">
        <v>17973446</v>
      </c>
      <c r="S189" s="2" t="str">
        <f t="shared" si="17"/>
        <v>Highly Viral</v>
      </c>
      <c r="T189" s="4" t="s">
        <v>31</v>
      </c>
      <c r="U189" s="3" t="s">
        <v>25</v>
      </c>
    </row>
    <row r="190" spans="1:21" x14ac:dyDescent="0.3">
      <c r="A190" s="2" t="s">
        <v>250</v>
      </c>
      <c r="B190" s="8">
        <v>45318</v>
      </c>
      <c r="C190" s="2" t="s">
        <v>34</v>
      </c>
      <c r="D190" s="2" t="s">
        <v>55</v>
      </c>
      <c r="E190" s="2" t="s">
        <v>47</v>
      </c>
      <c r="F190" s="2" t="s">
        <v>41</v>
      </c>
      <c r="G190" s="2" t="s">
        <v>21</v>
      </c>
      <c r="H190" s="13">
        <v>80.5</v>
      </c>
      <c r="I190" s="2" t="str">
        <f t="shared" si="15"/>
        <v>High Risk</v>
      </c>
      <c r="J190" s="2">
        <v>78.8</v>
      </c>
      <c r="K190" s="2" t="str">
        <f t="shared" si="18"/>
        <v>High Confidence</v>
      </c>
      <c r="L190" s="2" t="s">
        <v>30</v>
      </c>
      <c r="M190" s="2" t="str">
        <f t="shared" si="16"/>
        <v>AI Generated</v>
      </c>
      <c r="N190" s="2">
        <v>0.67100000000000004</v>
      </c>
      <c r="O190" s="2" t="s">
        <v>30</v>
      </c>
      <c r="P190" s="2">
        <v>4021550</v>
      </c>
      <c r="Q190" s="2" t="str">
        <f t="shared" si="19"/>
        <v>High</v>
      </c>
      <c r="R190" s="2">
        <v>7009654</v>
      </c>
      <c r="S190" s="2" t="str">
        <f t="shared" si="17"/>
        <v>Highly Viral</v>
      </c>
      <c r="T190" s="2" t="s">
        <v>56</v>
      </c>
      <c r="U190" s="6" t="s">
        <v>48</v>
      </c>
    </row>
    <row r="191" spans="1:21" x14ac:dyDescent="0.3">
      <c r="A191" s="4" t="s">
        <v>251</v>
      </c>
      <c r="B191" s="9">
        <v>45447</v>
      </c>
      <c r="C191" s="4" t="s">
        <v>27</v>
      </c>
      <c r="D191" s="4" t="s">
        <v>50</v>
      </c>
      <c r="E191" s="4" t="s">
        <v>28</v>
      </c>
      <c r="F191" s="4" t="s">
        <v>36</v>
      </c>
      <c r="G191" s="4" t="s">
        <v>67</v>
      </c>
      <c r="H191" s="14">
        <v>74.7</v>
      </c>
      <c r="I191" s="2" t="str">
        <f t="shared" si="15"/>
        <v>High Risk</v>
      </c>
      <c r="J191" s="4">
        <v>87</v>
      </c>
      <c r="K191" s="2" t="str">
        <f t="shared" si="18"/>
        <v>High Confidence</v>
      </c>
      <c r="L191" s="4" t="s">
        <v>30</v>
      </c>
      <c r="M191" s="2" t="str">
        <f t="shared" si="16"/>
        <v>AI Generated</v>
      </c>
      <c r="N191" s="4">
        <v>0.91400000000000003</v>
      </c>
      <c r="O191" s="4" t="s">
        <v>23</v>
      </c>
      <c r="P191" s="4">
        <v>1715680</v>
      </c>
      <c r="Q191" s="2" t="str">
        <f t="shared" si="19"/>
        <v>Medium</v>
      </c>
      <c r="R191" s="4">
        <v>13309263</v>
      </c>
      <c r="S191" s="2" t="str">
        <f t="shared" si="17"/>
        <v>Highly Viral</v>
      </c>
      <c r="T191" s="4" t="s">
        <v>31</v>
      </c>
      <c r="U191" s="6" t="s">
        <v>48</v>
      </c>
    </row>
    <row r="192" spans="1:21" x14ac:dyDescent="0.3">
      <c r="A192" s="2" t="s">
        <v>252</v>
      </c>
      <c r="B192" s="8">
        <v>45574</v>
      </c>
      <c r="C192" s="2" t="s">
        <v>39</v>
      </c>
      <c r="D192" s="2" t="s">
        <v>40</v>
      </c>
      <c r="E192" s="2" t="s">
        <v>88</v>
      </c>
      <c r="F192" s="2" t="s">
        <v>76</v>
      </c>
      <c r="G192" s="2" t="s">
        <v>29</v>
      </c>
      <c r="H192" s="13">
        <v>64.900000000000006</v>
      </c>
      <c r="I192" s="2" t="str">
        <f t="shared" si="15"/>
        <v>High Risk</v>
      </c>
      <c r="J192" s="2">
        <v>65.099999999999994</v>
      </c>
      <c r="K192" s="2" t="str">
        <f t="shared" si="18"/>
        <v>Moderate Confidence</v>
      </c>
      <c r="L192" s="2" t="s">
        <v>30</v>
      </c>
      <c r="M192" s="2" t="str">
        <f t="shared" si="16"/>
        <v>AI Generated</v>
      </c>
      <c r="N192" s="2">
        <v>0.36</v>
      </c>
      <c r="O192" s="2" t="s">
        <v>22</v>
      </c>
      <c r="P192" s="2">
        <v>3909225</v>
      </c>
      <c r="Q192" s="2" t="str">
        <f t="shared" si="19"/>
        <v>Medium</v>
      </c>
      <c r="R192" s="2">
        <v>3309243</v>
      </c>
      <c r="S192" s="2" t="str">
        <f t="shared" si="17"/>
        <v>Moderately Viral</v>
      </c>
      <c r="T192" s="2" t="s">
        <v>24</v>
      </c>
      <c r="U192" s="5" t="s">
        <v>32</v>
      </c>
    </row>
    <row r="193" spans="1:21" x14ac:dyDescent="0.3">
      <c r="A193" s="4" t="s">
        <v>253</v>
      </c>
      <c r="B193" s="9">
        <v>45455</v>
      </c>
      <c r="C193" s="4" t="s">
        <v>46</v>
      </c>
      <c r="D193" s="4" t="s">
        <v>40</v>
      </c>
      <c r="E193" s="4" t="s">
        <v>51</v>
      </c>
      <c r="F193" s="4" t="s">
        <v>76</v>
      </c>
      <c r="G193" s="4" t="s">
        <v>67</v>
      </c>
      <c r="H193" s="14">
        <v>56.3</v>
      </c>
      <c r="I193" s="2" t="str">
        <f t="shared" si="15"/>
        <v>Moderate Risk</v>
      </c>
      <c r="J193" s="4">
        <v>60.8</v>
      </c>
      <c r="K193" s="2" t="str">
        <f t="shared" si="18"/>
        <v>Moderate Confidence</v>
      </c>
      <c r="L193" s="4" t="s">
        <v>43</v>
      </c>
      <c r="M193" s="2" t="str">
        <f t="shared" si="16"/>
        <v>Human Content</v>
      </c>
      <c r="N193" s="4">
        <v>0.14599999999999999</v>
      </c>
      <c r="O193" s="4" t="s">
        <v>22</v>
      </c>
      <c r="P193" s="4">
        <v>4641613</v>
      </c>
      <c r="Q193" s="2" t="str">
        <f t="shared" si="19"/>
        <v>High</v>
      </c>
      <c r="R193" s="4">
        <v>19597358</v>
      </c>
      <c r="S193" s="2" t="str">
        <f t="shared" si="17"/>
        <v>Highly Viral</v>
      </c>
      <c r="T193" s="4" t="s">
        <v>44</v>
      </c>
      <c r="U193" s="5" t="s">
        <v>32</v>
      </c>
    </row>
    <row r="194" spans="1:21" x14ac:dyDescent="0.3">
      <c r="A194" s="2" t="s">
        <v>254</v>
      </c>
      <c r="B194" s="8">
        <v>45505</v>
      </c>
      <c r="C194" s="2" t="s">
        <v>34</v>
      </c>
      <c r="D194" s="2" t="s">
        <v>50</v>
      </c>
      <c r="E194" s="2" t="s">
        <v>28</v>
      </c>
      <c r="F194" s="2" t="s">
        <v>52</v>
      </c>
      <c r="G194" s="2" t="s">
        <v>21</v>
      </c>
      <c r="H194" s="13">
        <v>38</v>
      </c>
      <c r="I194" s="2" t="str">
        <f t="shared" si="15"/>
        <v>Moderate Risk</v>
      </c>
      <c r="J194" s="2">
        <v>90.8</v>
      </c>
      <c r="K194" s="2" t="str">
        <f t="shared" si="18"/>
        <v>High Confidence</v>
      </c>
      <c r="L194" s="2" t="s">
        <v>43</v>
      </c>
      <c r="M194" s="2" t="str">
        <f t="shared" si="16"/>
        <v>Human Content</v>
      </c>
      <c r="N194" s="2">
        <v>0.499</v>
      </c>
      <c r="O194" s="2" t="s">
        <v>23</v>
      </c>
      <c r="P194" s="2">
        <v>2831794</v>
      </c>
      <c r="Q194" s="2" t="str">
        <f t="shared" si="19"/>
        <v>Medium</v>
      </c>
      <c r="R194" s="2">
        <v>8634953</v>
      </c>
      <c r="S194" s="2" t="str">
        <f t="shared" si="17"/>
        <v>Highly Viral</v>
      </c>
      <c r="T194" s="2" t="s">
        <v>24</v>
      </c>
      <c r="U194" s="5" t="s">
        <v>32</v>
      </c>
    </row>
    <row r="195" spans="1:21" x14ac:dyDescent="0.3">
      <c r="A195" s="4" t="s">
        <v>255</v>
      </c>
      <c r="B195" s="9">
        <v>45620</v>
      </c>
      <c r="C195" s="4" t="s">
        <v>54</v>
      </c>
      <c r="D195" s="4" t="s">
        <v>55</v>
      </c>
      <c r="E195" s="4" t="s">
        <v>35</v>
      </c>
      <c r="F195" s="4" t="s">
        <v>36</v>
      </c>
      <c r="G195" s="4" t="s">
        <v>74</v>
      </c>
      <c r="H195" s="14">
        <v>35.200000000000003</v>
      </c>
      <c r="I195" s="2" t="str">
        <f t="shared" ref="I195:I258" si="20">IF(H195&gt;60,"High Risk",IF(H195&lt;60,"Moderate Risk"))</f>
        <v>Moderate Risk</v>
      </c>
      <c r="J195" s="4">
        <v>56.9</v>
      </c>
      <c r="K195" s="2" t="str">
        <f t="shared" si="18"/>
        <v>Moderate Confidence</v>
      </c>
      <c r="L195" s="4" t="s">
        <v>43</v>
      </c>
      <c r="M195" s="2" t="str">
        <f t="shared" ref="M195:M258" si="21">IF(L195="Yes","AI Generated","Human Content")</f>
        <v>Human Content</v>
      </c>
      <c r="N195" s="4">
        <v>0.54700000000000004</v>
      </c>
      <c r="O195" s="4" t="s">
        <v>30</v>
      </c>
      <c r="P195" s="4">
        <v>4547873</v>
      </c>
      <c r="Q195" s="2" t="str">
        <f t="shared" si="19"/>
        <v>High</v>
      </c>
      <c r="R195" s="4">
        <v>1971220</v>
      </c>
      <c r="S195" s="2" t="str">
        <f t="shared" si="17"/>
        <v>Moderately Viral</v>
      </c>
      <c r="T195" s="4" t="s">
        <v>44</v>
      </c>
      <c r="U195" s="5" t="s">
        <v>32</v>
      </c>
    </row>
    <row r="196" spans="1:21" x14ac:dyDescent="0.3">
      <c r="A196" s="2" t="s">
        <v>256</v>
      </c>
      <c r="B196" s="8">
        <v>45309</v>
      </c>
      <c r="C196" s="2" t="s">
        <v>17</v>
      </c>
      <c r="D196" s="2" t="s">
        <v>18</v>
      </c>
      <c r="E196" s="2" t="s">
        <v>47</v>
      </c>
      <c r="F196" s="2" t="s">
        <v>76</v>
      </c>
      <c r="G196" s="2" t="s">
        <v>21</v>
      </c>
      <c r="H196" s="13">
        <v>84.3</v>
      </c>
      <c r="I196" s="2" t="str">
        <f t="shared" si="20"/>
        <v>High Risk</v>
      </c>
      <c r="J196" s="2">
        <v>61.3</v>
      </c>
      <c r="K196" s="2" t="str">
        <f t="shared" si="18"/>
        <v>Moderate Confidence</v>
      </c>
      <c r="L196" s="2" t="s">
        <v>30</v>
      </c>
      <c r="M196" s="2" t="str">
        <f t="shared" si="21"/>
        <v>AI Generated</v>
      </c>
      <c r="N196" s="2">
        <v>0.70699999999999996</v>
      </c>
      <c r="O196" s="2" t="s">
        <v>30</v>
      </c>
      <c r="P196" s="2">
        <v>1834853</v>
      </c>
      <c r="Q196" s="2" t="str">
        <f t="shared" si="19"/>
        <v>Medium</v>
      </c>
      <c r="R196" s="2">
        <v>16970080</v>
      </c>
      <c r="S196" s="2" t="str">
        <f t="shared" si="17"/>
        <v>Highly Viral</v>
      </c>
      <c r="T196" s="2" t="s">
        <v>24</v>
      </c>
      <c r="U196" s="6" t="s">
        <v>48</v>
      </c>
    </row>
    <row r="197" spans="1:21" x14ac:dyDescent="0.3">
      <c r="A197" s="4" t="s">
        <v>257</v>
      </c>
      <c r="B197" s="9">
        <v>45483</v>
      </c>
      <c r="C197" s="4" t="s">
        <v>27</v>
      </c>
      <c r="D197" s="4" t="s">
        <v>60</v>
      </c>
      <c r="E197" s="4" t="s">
        <v>71</v>
      </c>
      <c r="F197" s="4" t="s">
        <v>36</v>
      </c>
      <c r="G197" s="4" t="s">
        <v>37</v>
      </c>
      <c r="H197" s="14">
        <v>1.6</v>
      </c>
      <c r="I197" s="2" t="str">
        <f t="shared" si="20"/>
        <v>Moderate Risk</v>
      </c>
      <c r="J197" s="4">
        <v>76.099999999999994</v>
      </c>
      <c r="K197" s="2" t="str">
        <f t="shared" si="18"/>
        <v>High Confidence</v>
      </c>
      <c r="L197" s="4" t="s">
        <v>22</v>
      </c>
      <c r="M197" s="2" t="str">
        <f t="shared" si="21"/>
        <v>Human Content</v>
      </c>
      <c r="N197" s="4">
        <v>0.41099999999999998</v>
      </c>
      <c r="O197" s="4" t="s">
        <v>30</v>
      </c>
      <c r="P197" s="4">
        <v>4441177</v>
      </c>
      <c r="Q197" s="2" t="str">
        <f t="shared" si="19"/>
        <v>High</v>
      </c>
      <c r="R197" s="4">
        <v>9219269</v>
      </c>
      <c r="S197" s="2" t="str">
        <f t="shared" ref="S197:S260" si="22">IF(R197&gt;5000000,"Highly Viral",IF(R197&gt;1000000,"Moderately Viral",IF(R197&lt;500000,"Low Viral")))</f>
        <v>Highly Viral</v>
      </c>
      <c r="T197" s="4" t="s">
        <v>44</v>
      </c>
      <c r="U197" s="3" t="s">
        <v>25</v>
      </c>
    </row>
    <row r="198" spans="1:21" x14ac:dyDescent="0.3">
      <c r="A198" s="2" t="s">
        <v>258</v>
      </c>
      <c r="B198" s="8">
        <v>45438</v>
      </c>
      <c r="C198" s="2" t="s">
        <v>27</v>
      </c>
      <c r="D198" s="2" t="s">
        <v>60</v>
      </c>
      <c r="E198" s="2" t="s">
        <v>88</v>
      </c>
      <c r="F198" s="2" t="s">
        <v>20</v>
      </c>
      <c r="G198" s="2" t="s">
        <v>67</v>
      </c>
      <c r="H198" s="13">
        <v>91.8</v>
      </c>
      <c r="I198" s="2" t="str">
        <f t="shared" si="20"/>
        <v>High Risk</v>
      </c>
      <c r="J198" s="2">
        <v>75.7</v>
      </c>
      <c r="K198" s="2" t="str">
        <f t="shared" si="18"/>
        <v>High Confidence</v>
      </c>
      <c r="L198" s="2" t="s">
        <v>30</v>
      </c>
      <c r="M198" s="2" t="str">
        <f t="shared" si="21"/>
        <v>AI Generated</v>
      </c>
      <c r="N198" s="2">
        <v>0.24099999999999999</v>
      </c>
      <c r="O198" s="2" t="s">
        <v>23</v>
      </c>
      <c r="P198" s="2">
        <v>4416332</v>
      </c>
      <c r="Q198" s="2" t="str">
        <f t="shared" si="19"/>
        <v>High</v>
      </c>
      <c r="R198" s="2">
        <v>8470249</v>
      </c>
      <c r="S198" s="2" t="str">
        <f t="shared" si="22"/>
        <v>Highly Viral</v>
      </c>
      <c r="T198" s="2" t="s">
        <v>56</v>
      </c>
      <c r="U198" s="6" t="s">
        <v>48</v>
      </c>
    </row>
    <row r="199" spans="1:21" x14ac:dyDescent="0.3">
      <c r="A199" s="4" t="s">
        <v>259</v>
      </c>
      <c r="B199" s="9">
        <v>45428</v>
      </c>
      <c r="C199" s="4" t="s">
        <v>78</v>
      </c>
      <c r="D199" s="4" t="s">
        <v>18</v>
      </c>
      <c r="E199" s="4" t="s">
        <v>51</v>
      </c>
      <c r="F199" s="4" t="s">
        <v>76</v>
      </c>
      <c r="G199" s="4" t="s">
        <v>37</v>
      </c>
      <c r="H199" s="14">
        <v>56.5</v>
      </c>
      <c r="I199" s="2" t="str">
        <f t="shared" si="20"/>
        <v>Moderate Risk</v>
      </c>
      <c r="J199" s="4">
        <v>98.5</v>
      </c>
      <c r="K199" s="2" t="str">
        <f t="shared" si="18"/>
        <v>High Confidence</v>
      </c>
      <c r="L199" s="4" t="s">
        <v>43</v>
      </c>
      <c r="M199" s="2" t="str">
        <f t="shared" si="21"/>
        <v>Human Content</v>
      </c>
      <c r="N199" s="4">
        <v>0.22600000000000001</v>
      </c>
      <c r="O199" s="4" t="s">
        <v>23</v>
      </c>
      <c r="P199" s="4">
        <v>676363</v>
      </c>
      <c r="Q199" s="2" t="str">
        <f t="shared" si="19"/>
        <v>Low</v>
      </c>
      <c r="R199" s="4">
        <v>1063655</v>
      </c>
      <c r="S199" s="2" t="str">
        <f t="shared" si="22"/>
        <v>Moderately Viral</v>
      </c>
      <c r="T199" s="4" t="s">
        <v>61</v>
      </c>
      <c r="U199" s="5" t="s">
        <v>32</v>
      </c>
    </row>
    <row r="200" spans="1:21" x14ac:dyDescent="0.3">
      <c r="A200" s="2" t="s">
        <v>260</v>
      </c>
      <c r="B200" s="8">
        <v>45499</v>
      </c>
      <c r="C200" s="2" t="s">
        <v>78</v>
      </c>
      <c r="D200" s="2" t="s">
        <v>55</v>
      </c>
      <c r="E200" s="2" t="s">
        <v>71</v>
      </c>
      <c r="F200" s="2" t="s">
        <v>41</v>
      </c>
      <c r="G200" s="2" t="s">
        <v>42</v>
      </c>
      <c r="H200" s="13">
        <v>0.9</v>
      </c>
      <c r="I200" s="2" t="str">
        <f t="shared" si="20"/>
        <v>Moderate Risk</v>
      </c>
      <c r="J200" s="2">
        <v>58.4</v>
      </c>
      <c r="K200" s="2" t="str">
        <f t="shared" si="18"/>
        <v>Moderate Confidence</v>
      </c>
      <c r="L200" s="2" t="s">
        <v>22</v>
      </c>
      <c r="M200" s="2" t="str">
        <f t="shared" si="21"/>
        <v>Human Content</v>
      </c>
      <c r="N200" s="2">
        <v>0.5</v>
      </c>
      <c r="O200" s="2" t="s">
        <v>22</v>
      </c>
      <c r="P200" s="2">
        <v>2778999</v>
      </c>
      <c r="Q200" s="2" t="str">
        <f t="shared" si="19"/>
        <v>Medium</v>
      </c>
      <c r="R200" s="2">
        <v>18987497</v>
      </c>
      <c r="S200" s="2" t="str">
        <f t="shared" si="22"/>
        <v>Highly Viral</v>
      </c>
      <c r="T200" s="2" t="s">
        <v>61</v>
      </c>
      <c r="U200" s="3" t="s">
        <v>25</v>
      </c>
    </row>
    <row r="201" spans="1:21" x14ac:dyDescent="0.3">
      <c r="A201" s="4" t="s">
        <v>261</v>
      </c>
      <c r="B201" s="9">
        <v>45562</v>
      </c>
      <c r="C201" s="4" t="s">
        <v>27</v>
      </c>
      <c r="D201" s="4" t="s">
        <v>50</v>
      </c>
      <c r="E201" s="4" t="s">
        <v>28</v>
      </c>
      <c r="F201" s="4" t="s">
        <v>36</v>
      </c>
      <c r="G201" s="4" t="s">
        <v>29</v>
      </c>
      <c r="H201" s="14">
        <v>47.6</v>
      </c>
      <c r="I201" s="2" t="str">
        <f t="shared" si="20"/>
        <v>Moderate Risk</v>
      </c>
      <c r="J201" s="4">
        <v>52.3</v>
      </c>
      <c r="K201" s="2" t="str">
        <f t="shared" si="18"/>
        <v>Moderate Confidence</v>
      </c>
      <c r="L201" s="4" t="s">
        <v>43</v>
      </c>
      <c r="M201" s="2" t="str">
        <f t="shared" si="21"/>
        <v>Human Content</v>
      </c>
      <c r="N201" s="4">
        <v>7.3999999999999996E-2</v>
      </c>
      <c r="O201" s="4" t="s">
        <v>22</v>
      </c>
      <c r="P201" s="4">
        <v>4555371</v>
      </c>
      <c r="Q201" s="2" t="str">
        <f t="shared" si="19"/>
        <v>High</v>
      </c>
      <c r="R201" s="4">
        <v>18908753</v>
      </c>
      <c r="S201" s="2" t="str">
        <f t="shared" si="22"/>
        <v>Highly Viral</v>
      </c>
      <c r="T201" s="4" t="s">
        <v>61</v>
      </c>
      <c r="U201" s="5" t="s">
        <v>32</v>
      </c>
    </row>
    <row r="202" spans="1:21" x14ac:dyDescent="0.3">
      <c r="A202" s="2" t="s">
        <v>262</v>
      </c>
      <c r="B202" s="8">
        <v>45383</v>
      </c>
      <c r="C202" s="2" t="s">
        <v>39</v>
      </c>
      <c r="D202" s="2" t="s">
        <v>18</v>
      </c>
      <c r="E202" s="2" t="s">
        <v>28</v>
      </c>
      <c r="F202" s="2" t="s">
        <v>58</v>
      </c>
      <c r="G202" s="2" t="s">
        <v>21</v>
      </c>
      <c r="H202" s="13">
        <v>75.2</v>
      </c>
      <c r="I202" s="2" t="str">
        <f t="shared" si="20"/>
        <v>High Risk</v>
      </c>
      <c r="J202" s="2">
        <v>84.9</v>
      </c>
      <c r="K202" s="2" t="str">
        <f t="shared" si="18"/>
        <v>High Confidence</v>
      </c>
      <c r="L202" s="2" t="s">
        <v>30</v>
      </c>
      <c r="M202" s="2" t="str">
        <f t="shared" si="21"/>
        <v>AI Generated</v>
      </c>
      <c r="N202" s="2">
        <v>0.39800000000000002</v>
      </c>
      <c r="O202" s="2" t="s">
        <v>30</v>
      </c>
      <c r="P202" s="2">
        <v>2510616</v>
      </c>
      <c r="Q202" s="2" t="str">
        <f t="shared" si="19"/>
        <v>Medium</v>
      </c>
      <c r="R202" s="2">
        <v>5451425</v>
      </c>
      <c r="S202" s="2" t="str">
        <f t="shared" si="22"/>
        <v>Highly Viral</v>
      </c>
      <c r="T202" s="2" t="s">
        <v>44</v>
      </c>
      <c r="U202" s="6" t="s">
        <v>48</v>
      </c>
    </row>
    <row r="203" spans="1:21" x14ac:dyDescent="0.3">
      <c r="A203" s="4" t="s">
        <v>263</v>
      </c>
      <c r="B203" s="9">
        <v>45415</v>
      </c>
      <c r="C203" s="4" t="s">
        <v>78</v>
      </c>
      <c r="D203" s="4" t="s">
        <v>60</v>
      </c>
      <c r="E203" s="4" t="s">
        <v>51</v>
      </c>
      <c r="F203" s="4" t="s">
        <v>76</v>
      </c>
      <c r="G203" s="4" t="s">
        <v>74</v>
      </c>
      <c r="H203" s="14">
        <v>74</v>
      </c>
      <c r="I203" s="2" t="str">
        <f t="shared" si="20"/>
        <v>High Risk</v>
      </c>
      <c r="J203" s="4">
        <v>88.7</v>
      </c>
      <c r="K203" s="2" t="str">
        <f t="shared" si="18"/>
        <v>High Confidence</v>
      </c>
      <c r="L203" s="4" t="s">
        <v>30</v>
      </c>
      <c r="M203" s="2" t="str">
        <f t="shared" si="21"/>
        <v>AI Generated</v>
      </c>
      <c r="N203" s="4">
        <v>0.68899999999999995</v>
      </c>
      <c r="O203" s="4" t="s">
        <v>30</v>
      </c>
      <c r="P203" s="4">
        <v>4201054</v>
      </c>
      <c r="Q203" s="2" t="str">
        <f t="shared" si="19"/>
        <v>High</v>
      </c>
      <c r="R203" s="4">
        <v>11605619</v>
      </c>
      <c r="S203" s="2" t="str">
        <f t="shared" si="22"/>
        <v>Highly Viral</v>
      </c>
      <c r="T203" s="4" t="s">
        <v>61</v>
      </c>
      <c r="U203" s="6" t="s">
        <v>48</v>
      </c>
    </row>
    <row r="204" spans="1:21" x14ac:dyDescent="0.3">
      <c r="A204" s="2" t="s">
        <v>264</v>
      </c>
      <c r="B204" s="8">
        <v>45342</v>
      </c>
      <c r="C204" s="2" t="s">
        <v>78</v>
      </c>
      <c r="D204" s="2" t="s">
        <v>50</v>
      </c>
      <c r="E204" s="2" t="s">
        <v>73</v>
      </c>
      <c r="F204" s="2" t="s">
        <v>52</v>
      </c>
      <c r="G204" s="2" t="s">
        <v>29</v>
      </c>
      <c r="H204" s="13">
        <v>76.900000000000006</v>
      </c>
      <c r="I204" s="2" t="str">
        <f t="shared" si="20"/>
        <v>High Risk</v>
      </c>
      <c r="J204" s="2">
        <v>96.8</v>
      </c>
      <c r="K204" s="2" t="str">
        <f t="shared" si="18"/>
        <v>High Confidence</v>
      </c>
      <c r="L204" s="2" t="s">
        <v>30</v>
      </c>
      <c r="M204" s="2" t="str">
        <f t="shared" si="21"/>
        <v>AI Generated</v>
      </c>
      <c r="N204" s="2">
        <v>0.39700000000000002</v>
      </c>
      <c r="O204" s="2" t="s">
        <v>22</v>
      </c>
      <c r="P204" s="2">
        <v>248618</v>
      </c>
      <c r="Q204" s="2" t="str">
        <f t="shared" si="19"/>
        <v>Low</v>
      </c>
      <c r="R204" s="2">
        <v>9171833</v>
      </c>
      <c r="S204" s="2" t="str">
        <f t="shared" si="22"/>
        <v>Highly Viral</v>
      </c>
      <c r="T204" s="2" t="s">
        <v>24</v>
      </c>
      <c r="U204" s="6" t="s">
        <v>48</v>
      </c>
    </row>
    <row r="205" spans="1:21" x14ac:dyDescent="0.3">
      <c r="A205" s="4" t="s">
        <v>265</v>
      </c>
      <c r="B205" s="9">
        <v>45543</v>
      </c>
      <c r="C205" s="4" t="s">
        <v>46</v>
      </c>
      <c r="D205" s="4" t="s">
        <v>40</v>
      </c>
      <c r="E205" s="4" t="s">
        <v>88</v>
      </c>
      <c r="F205" s="4" t="s">
        <v>76</v>
      </c>
      <c r="G205" s="4" t="s">
        <v>21</v>
      </c>
      <c r="H205" s="14">
        <v>68</v>
      </c>
      <c r="I205" s="2" t="str">
        <f t="shared" si="20"/>
        <v>High Risk</v>
      </c>
      <c r="J205" s="4">
        <v>82.4</v>
      </c>
      <c r="K205" s="2" t="str">
        <f t="shared" si="18"/>
        <v>High Confidence</v>
      </c>
      <c r="L205" s="4" t="s">
        <v>30</v>
      </c>
      <c r="M205" s="2" t="str">
        <f t="shared" si="21"/>
        <v>AI Generated</v>
      </c>
      <c r="N205" s="4">
        <v>8.5999999999999993E-2</v>
      </c>
      <c r="O205" s="4" t="s">
        <v>23</v>
      </c>
      <c r="P205" s="4">
        <v>2477922</v>
      </c>
      <c r="Q205" s="2" t="str">
        <f t="shared" si="19"/>
        <v>Medium</v>
      </c>
      <c r="R205" s="4">
        <v>8269982</v>
      </c>
      <c r="S205" s="2" t="str">
        <f t="shared" si="22"/>
        <v>Highly Viral</v>
      </c>
      <c r="T205" s="4" t="s">
        <v>61</v>
      </c>
      <c r="U205" s="6" t="s">
        <v>48</v>
      </c>
    </row>
    <row r="206" spans="1:21" x14ac:dyDescent="0.3">
      <c r="A206" s="2" t="s">
        <v>266</v>
      </c>
      <c r="B206" s="8">
        <v>45334</v>
      </c>
      <c r="C206" s="2" t="s">
        <v>34</v>
      </c>
      <c r="D206" s="2" t="s">
        <v>50</v>
      </c>
      <c r="E206" s="2" t="s">
        <v>88</v>
      </c>
      <c r="F206" s="2" t="s">
        <v>36</v>
      </c>
      <c r="G206" s="2" t="s">
        <v>74</v>
      </c>
      <c r="H206" s="13">
        <v>63.4</v>
      </c>
      <c r="I206" s="2" t="str">
        <f t="shared" si="20"/>
        <v>High Risk</v>
      </c>
      <c r="J206" s="2">
        <v>86.2</v>
      </c>
      <c r="K206" s="2" t="str">
        <f t="shared" si="18"/>
        <v>High Confidence</v>
      </c>
      <c r="L206" s="2" t="s">
        <v>30</v>
      </c>
      <c r="M206" s="2" t="str">
        <f t="shared" si="21"/>
        <v>AI Generated</v>
      </c>
      <c r="N206" s="2">
        <v>0.317</v>
      </c>
      <c r="O206" s="2" t="s">
        <v>30</v>
      </c>
      <c r="P206" s="2">
        <v>767829</v>
      </c>
      <c r="Q206" s="2" t="str">
        <f t="shared" si="19"/>
        <v>Low</v>
      </c>
      <c r="R206" s="2">
        <v>174822</v>
      </c>
      <c r="S206" s="2" t="str">
        <f t="shared" si="22"/>
        <v>Low Viral</v>
      </c>
      <c r="T206" s="2" t="s">
        <v>56</v>
      </c>
      <c r="U206" s="5" t="s">
        <v>32</v>
      </c>
    </row>
    <row r="207" spans="1:21" x14ac:dyDescent="0.3">
      <c r="A207" s="4" t="s">
        <v>267</v>
      </c>
      <c r="B207" s="9">
        <v>45519</v>
      </c>
      <c r="C207" s="4" t="s">
        <v>39</v>
      </c>
      <c r="D207" s="4" t="s">
        <v>40</v>
      </c>
      <c r="E207" s="4" t="s">
        <v>73</v>
      </c>
      <c r="F207" s="4" t="s">
        <v>20</v>
      </c>
      <c r="G207" s="4" t="s">
        <v>67</v>
      </c>
      <c r="H207" s="14">
        <v>18.7</v>
      </c>
      <c r="I207" s="2" t="str">
        <f t="shared" si="20"/>
        <v>Moderate Risk</v>
      </c>
      <c r="J207" s="4">
        <v>72</v>
      </c>
      <c r="K207" s="2" t="str">
        <f t="shared" si="18"/>
        <v>High Confidence</v>
      </c>
      <c r="L207" s="4" t="s">
        <v>22</v>
      </c>
      <c r="M207" s="2" t="str">
        <f t="shared" si="21"/>
        <v>Human Content</v>
      </c>
      <c r="N207" s="4">
        <v>0.55500000000000005</v>
      </c>
      <c r="O207" s="4" t="s">
        <v>22</v>
      </c>
      <c r="P207" s="4">
        <v>866583</v>
      </c>
      <c r="Q207" s="2" t="str">
        <f t="shared" si="19"/>
        <v>Low</v>
      </c>
      <c r="R207" s="4">
        <v>881703</v>
      </c>
      <c r="S207" s="2" t="b">
        <f t="shared" si="22"/>
        <v>0</v>
      </c>
      <c r="T207" s="4" t="s">
        <v>61</v>
      </c>
      <c r="U207" s="3" t="s">
        <v>25</v>
      </c>
    </row>
    <row r="208" spans="1:21" x14ac:dyDescent="0.3">
      <c r="A208" s="2" t="s">
        <v>268</v>
      </c>
      <c r="B208" s="8">
        <v>45473</v>
      </c>
      <c r="C208" s="2" t="s">
        <v>17</v>
      </c>
      <c r="D208" s="2" t="s">
        <v>60</v>
      </c>
      <c r="E208" s="2" t="s">
        <v>51</v>
      </c>
      <c r="F208" s="2" t="s">
        <v>76</v>
      </c>
      <c r="G208" s="2" t="s">
        <v>67</v>
      </c>
      <c r="H208" s="13">
        <v>29.2</v>
      </c>
      <c r="I208" s="2" t="str">
        <f t="shared" si="20"/>
        <v>Moderate Risk</v>
      </c>
      <c r="J208" s="2">
        <v>69</v>
      </c>
      <c r="K208" s="2" t="str">
        <f t="shared" si="18"/>
        <v>Moderate Confidence</v>
      </c>
      <c r="L208" s="2" t="s">
        <v>22</v>
      </c>
      <c r="M208" s="2" t="str">
        <f t="shared" si="21"/>
        <v>Human Content</v>
      </c>
      <c r="N208" s="2">
        <v>8.5000000000000006E-2</v>
      </c>
      <c r="O208" s="2" t="s">
        <v>23</v>
      </c>
      <c r="P208" s="2">
        <v>2036371</v>
      </c>
      <c r="Q208" s="2" t="str">
        <f t="shared" si="19"/>
        <v>Medium</v>
      </c>
      <c r="R208" s="2">
        <v>19192307</v>
      </c>
      <c r="S208" s="2" t="str">
        <f t="shared" si="22"/>
        <v>Highly Viral</v>
      </c>
      <c r="T208" s="2" t="s">
        <v>44</v>
      </c>
      <c r="U208" s="3" t="s">
        <v>25</v>
      </c>
    </row>
    <row r="209" spans="1:21" x14ac:dyDescent="0.3">
      <c r="A209" s="4" t="s">
        <v>269</v>
      </c>
      <c r="B209" s="9">
        <v>45378</v>
      </c>
      <c r="C209" s="4" t="s">
        <v>78</v>
      </c>
      <c r="D209" s="4" t="s">
        <v>50</v>
      </c>
      <c r="E209" s="4" t="s">
        <v>35</v>
      </c>
      <c r="F209" s="4" t="s">
        <v>52</v>
      </c>
      <c r="G209" s="4" t="s">
        <v>64</v>
      </c>
      <c r="H209" s="14">
        <v>26.8</v>
      </c>
      <c r="I209" s="2" t="str">
        <f t="shared" si="20"/>
        <v>Moderate Risk</v>
      </c>
      <c r="J209" s="4">
        <v>57.2</v>
      </c>
      <c r="K209" s="2" t="str">
        <f t="shared" si="18"/>
        <v>Moderate Confidence</v>
      </c>
      <c r="L209" s="4" t="s">
        <v>22</v>
      </c>
      <c r="M209" s="2" t="str">
        <f t="shared" si="21"/>
        <v>Human Content</v>
      </c>
      <c r="N209" s="4">
        <v>0.16700000000000001</v>
      </c>
      <c r="O209" s="4" t="s">
        <v>22</v>
      </c>
      <c r="P209" s="4">
        <v>3532562</v>
      </c>
      <c r="Q209" s="2" t="str">
        <f t="shared" si="19"/>
        <v>Medium</v>
      </c>
      <c r="R209" s="4">
        <v>10058516</v>
      </c>
      <c r="S209" s="2" t="str">
        <f t="shared" si="22"/>
        <v>Highly Viral</v>
      </c>
      <c r="T209" s="4" t="s">
        <v>24</v>
      </c>
      <c r="U209" s="3" t="s">
        <v>25</v>
      </c>
    </row>
    <row r="210" spans="1:21" x14ac:dyDescent="0.3">
      <c r="A210" s="2" t="s">
        <v>270</v>
      </c>
      <c r="B210" s="8">
        <v>45331</v>
      </c>
      <c r="C210" s="2" t="s">
        <v>39</v>
      </c>
      <c r="D210" s="2" t="s">
        <v>40</v>
      </c>
      <c r="E210" s="2" t="s">
        <v>28</v>
      </c>
      <c r="F210" s="2" t="s">
        <v>36</v>
      </c>
      <c r="G210" s="2" t="s">
        <v>42</v>
      </c>
      <c r="H210" s="13">
        <v>49.6</v>
      </c>
      <c r="I210" s="2" t="str">
        <f t="shared" si="20"/>
        <v>Moderate Risk</v>
      </c>
      <c r="J210" s="2">
        <v>80.2</v>
      </c>
      <c r="K210" s="2" t="str">
        <f t="shared" si="18"/>
        <v>High Confidence</v>
      </c>
      <c r="L210" s="2" t="s">
        <v>43</v>
      </c>
      <c r="M210" s="2" t="str">
        <f t="shared" si="21"/>
        <v>Human Content</v>
      </c>
      <c r="N210" s="2">
        <v>0.45800000000000002</v>
      </c>
      <c r="O210" s="2" t="s">
        <v>30</v>
      </c>
      <c r="P210" s="2">
        <v>2555756</v>
      </c>
      <c r="Q210" s="2" t="str">
        <f t="shared" si="19"/>
        <v>Medium</v>
      </c>
      <c r="R210" s="2">
        <v>227575</v>
      </c>
      <c r="S210" s="2" t="str">
        <f t="shared" si="22"/>
        <v>Low Viral</v>
      </c>
      <c r="T210" s="2" t="s">
        <v>24</v>
      </c>
      <c r="U210" s="5" t="s">
        <v>32</v>
      </c>
    </row>
    <row r="211" spans="1:21" x14ac:dyDescent="0.3">
      <c r="A211" s="4" t="s">
        <v>271</v>
      </c>
      <c r="B211" s="9">
        <v>45462</v>
      </c>
      <c r="C211" s="4" t="s">
        <v>78</v>
      </c>
      <c r="D211" s="4" t="s">
        <v>40</v>
      </c>
      <c r="E211" s="4" t="s">
        <v>71</v>
      </c>
      <c r="F211" s="4" t="s">
        <v>52</v>
      </c>
      <c r="G211" s="4" t="s">
        <v>37</v>
      </c>
      <c r="H211" s="14">
        <v>81.5</v>
      </c>
      <c r="I211" s="2" t="str">
        <f t="shared" si="20"/>
        <v>High Risk</v>
      </c>
      <c r="J211" s="4">
        <v>92.1</v>
      </c>
      <c r="K211" s="2" t="str">
        <f t="shared" si="18"/>
        <v>High Confidence</v>
      </c>
      <c r="L211" s="4" t="s">
        <v>30</v>
      </c>
      <c r="M211" s="2" t="str">
        <f t="shared" si="21"/>
        <v>AI Generated</v>
      </c>
      <c r="N211" s="4">
        <v>0.97399999999999998</v>
      </c>
      <c r="O211" s="4" t="s">
        <v>30</v>
      </c>
      <c r="P211" s="4">
        <v>2520333</v>
      </c>
      <c r="Q211" s="2" t="str">
        <f t="shared" si="19"/>
        <v>Medium</v>
      </c>
      <c r="R211" s="4">
        <v>10760237</v>
      </c>
      <c r="S211" s="2" t="str">
        <f t="shared" si="22"/>
        <v>Highly Viral</v>
      </c>
      <c r="T211" s="4" t="s">
        <v>44</v>
      </c>
      <c r="U211" s="6" t="s">
        <v>48</v>
      </c>
    </row>
    <row r="212" spans="1:21" x14ac:dyDescent="0.3">
      <c r="A212" s="2" t="s">
        <v>272</v>
      </c>
      <c r="B212" s="8">
        <v>45647</v>
      </c>
      <c r="C212" s="2" t="s">
        <v>46</v>
      </c>
      <c r="D212" s="2" t="s">
        <v>55</v>
      </c>
      <c r="E212" s="2" t="s">
        <v>51</v>
      </c>
      <c r="F212" s="2" t="s">
        <v>20</v>
      </c>
      <c r="G212" s="2" t="s">
        <v>37</v>
      </c>
      <c r="H212" s="13">
        <v>96.9</v>
      </c>
      <c r="I212" s="2" t="str">
        <f t="shared" si="20"/>
        <v>High Risk</v>
      </c>
      <c r="J212" s="2">
        <v>64.3</v>
      </c>
      <c r="K212" s="2" t="str">
        <f t="shared" si="18"/>
        <v>Moderate Confidence</v>
      </c>
      <c r="L212" s="2" t="s">
        <v>30</v>
      </c>
      <c r="M212" s="2" t="str">
        <f t="shared" si="21"/>
        <v>AI Generated</v>
      </c>
      <c r="N212" s="2">
        <v>0.69499999999999995</v>
      </c>
      <c r="O212" s="2" t="s">
        <v>22</v>
      </c>
      <c r="P212" s="2">
        <v>4830925</v>
      </c>
      <c r="Q212" s="2" t="str">
        <f t="shared" si="19"/>
        <v>High</v>
      </c>
      <c r="R212" s="2">
        <v>8134909</v>
      </c>
      <c r="S212" s="2" t="str">
        <f t="shared" si="22"/>
        <v>Highly Viral</v>
      </c>
      <c r="T212" s="2" t="s">
        <v>56</v>
      </c>
      <c r="U212" s="6" t="s">
        <v>48</v>
      </c>
    </row>
    <row r="213" spans="1:21" x14ac:dyDescent="0.3">
      <c r="A213" s="4" t="s">
        <v>273</v>
      </c>
      <c r="B213" s="9">
        <v>45484</v>
      </c>
      <c r="C213" s="4" t="s">
        <v>34</v>
      </c>
      <c r="D213" s="4" t="s">
        <v>55</v>
      </c>
      <c r="E213" s="4" t="s">
        <v>51</v>
      </c>
      <c r="F213" s="4" t="s">
        <v>41</v>
      </c>
      <c r="G213" s="4" t="s">
        <v>29</v>
      </c>
      <c r="H213" s="14">
        <v>20</v>
      </c>
      <c r="I213" s="2" t="str">
        <f t="shared" si="20"/>
        <v>Moderate Risk</v>
      </c>
      <c r="J213" s="4">
        <v>98.9</v>
      </c>
      <c r="K213" s="2" t="str">
        <f t="shared" si="18"/>
        <v>High Confidence</v>
      </c>
      <c r="L213" s="4" t="s">
        <v>22</v>
      </c>
      <c r="M213" s="2" t="str">
        <f t="shared" si="21"/>
        <v>Human Content</v>
      </c>
      <c r="N213" s="4">
        <v>0.18</v>
      </c>
      <c r="O213" s="4" t="s">
        <v>23</v>
      </c>
      <c r="P213" s="4">
        <v>225888</v>
      </c>
      <c r="Q213" s="2" t="str">
        <f t="shared" si="19"/>
        <v>Low</v>
      </c>
      <c r="R213" s="4">
        <v>15489971</v>
      </c>
      <c r="S213" s="2" t="str">
        <f t="shared" si="22"/>
        <v>Highly Viral</v>
      </c>
      <c r="T213" s="4" t="s">
        <v>31</v>
      </c>
      <c r="U213" s="3" t="s">
        <v>25</v>
      </c>
    </row>
    <row r="214" spans="1:21" x14ac:dyDescent="0.3">
      <c r="A214" s="2" t="s">
        <v>274</v>
      </c>
      <c r="B214" s="8">
        <v>45516</v>
      </c>
      <c r="C214" s="2" t="s">
        <v>34</v>
      </c>
      <c r="D214" s="2" t="s">
        <v>18</v>
      </c>
      <c r="E214" s="2" t="s">
        <v>88</v>
      </c>
      <c r="F214" s="2" t="s">
        <v>36</v>
      </c>
      <c r="G214" s="2" t="s">
        <v>37</v>
      </c>
      <c r="H214" s="13">
        <v>13.9</v>
      </c>
      <c r="I214" s="2" t="str">
        <f t="shared" si="20"/>
        <v>Moderate Risk</v>
      </c>
      <c r="J214" s="2">
        <v>64.8</v>
      </c>
      <c r="K214" s="2" t="str">
        <f t="shared" si="18"/>
        <v>Moderate Confidence</v>
      </c>
      <c r="L214" s="2" t="s">
        <v>22</v>
      </c>
      <c r="M214" s="2" t="str">
        <f t="shared" si="21"/>
        <v>Human Content</v>
      </c>
      <c r="N214" s="2">
        <v>0.253</v>
      </c>
      <c r="O214" s="2" t="s">
        <v>30</v>
      </c>
      <c r="P214" s="2">
        <v>3549554</v>
      </c>
      <c r="Q214" s="2" t="str">
        <f t="shared" si="19"/>
        <v>Medium</v>
      </c>
      <c r="R214" s="2">
        <v>12650212</v>
      </c>
      <c r="S214" s="2" t="str">
        <f t="shared" si="22"/>
        <v>Highly Viral</v>
      </c>
      <c r="T214" s="2" t="s">
        <v>61</v>
      </c>
      <c r="U214" s="3" t="s">
        <v>25</v>
      </c>
    </row>
    <row r="215" spans="1:21" x14ac:dyDescent="0.3">
      <c r="A215" s="4" t="s">
        <v>275</v>
      </c>
      <c r="B215" s="9">
        <v>45521</v>
      </c>
      <c r="C215" s="4" t="s">
        <v>54</v>
      </c>
      <c r="D215" s="4" t="s">
        <v>60</v>
      </c>
      <c r="E215" s="4" t="s">
        <v>88</v>
      </c>
      <c r="F215" s="4" t="s">
        <v>58</v>
      </c>
      <c r="G215" s="4" t="s">
        <v>29</v>
      </c>
      <c r="H215" s="14">
        <v>92.3</v>
      </c>
      <c r="I215" s="2" t="str">
        <f t="shared" si="20"/>
        <v>High Risk</v>
      </c>
      <c r="J215" s="4">
        <v>92.6</v>
      </c>
      <c r="K215" s="2" t="str">
        <f t="shared" si="18"/>
        <v>High Confidence</v>
      </c>
      <c r="L215" s="4" t="s">
        <v>30</v>
      </c>
      <c r="M215" s="2" t="str">
        <f t="shared" si="21"/>
        <v>AI Generated</v>
      </c>
      <c r="N215" s="4">
        <v>0.41799999999999998</v>
      </c>
      <c r="O215" s="4" t="s">
        <v>30</v>
      </c>
      <c r="P215" s="4">
        <v>3016051</v>
      </c>
      <c r="Q215" s="2" t="str">
        <f t="shared" si="19"/>
        <v>Medium</v>
      </c>
      <c r="R215" s="4">
        <v>18016075</v>
      </c>
      <c r="S215" s="2" t="str">
        <f t="shared" si="22"/>
        <v>Highly Viral</v>
      </c>
      <c r="T215" s="4" t="s">
        <v>44</v>
      </c>
      <c r="U215" s="6" t="s">
        <v>48</v>
      </c>
    </row>
    <row r="216" spans="1:21" x14ac:dyDescent="0.3">
      <c r="A216" s="2" t="s">
        <v>276</v>
      </c>
      <c r="B216" s="8">
        <v>45618</v>
      </c>
      <c r="C216" s="2" t="s">
        <v>17</v>
      </c>
      <c r="D216" s="2" t="s">
        <v>18</v>
      </c>
      <c r="E216" s="2" t="s">
        <v>28</v>
      </c>
      <c r="F216" s="2" t="s">
        <v>36</v>
      </c>
      <c r="G216" s="2" t="s">
        <v>42</v>
      </c>
      <c r="H216" s="13">
        <v>35.5</v>
      </c>
      <c r="I216" s="2" t="str">
        <f t="shared" si="20"/>
        <v>Moderate Risk</v>
      </c>
      <c r="J216" s="2">
        <v>81.7</v>
      </c>
      <c r="K216" s="2" t="str">
        <f t="shared" si="18"/>
        <v>High Confidence</v>
      </c>
      <c r="L216" s="2" t="s">
        <v>43</v>
      </c>
      <c r="M216" s="2" t="str">
        <f t="shared" si="21"/>
        <v>Human Content</v>
      </c>
      <c r="N216" s="2">
        <v>4.3999999999999997E-2</v>
      </c>
      <c r="O216" s="2" t="s">
        <v>23</v>
      </c>
      <c r="P216" s="2">
        <v>3352336</v>
      </c>
      <c r="Q216" s="2" t="str">
        <f t="shared" si="19"/>
        <v>Medium</v>
      </c>
      <c r="R216" s="2">
        <v>11127038</v>
      </c>
      <c r="S216" s="2" t="str">
        <f t="shared" si="22"/>
        <v>Highly Viral</v>
      </c>
      <c r="T216" s="2" t="s">
        <v>24</v>
      </c>
      <c r="U216" s="5" t="s">
        <v>32</v>
      </c>
    </row>
    <row r="217" spans="1:21" x14ac:dyDescent="0.3">
      <c r="A217" s="4" t="s">
        <v>277</v>
      </c>
      <c r="B217" s="9">
        <v>45346</v>
      </c>
      <c r="C217" s="4" t="s">
        <v>27</v>
      </c>
      <c r="D217" s="4" t="s">
        <v>18</v>
      </c>
      <c r="E217" s="4" t="s">
        <v>19</v>
      </c>
      <c r="F217" s="4" t="s">
        <v>20</v>
      </c>
      <c r="G217" s="4" t="s">
        <v>29</v>
      </c>
      <c r="H217" s="14">
        <v>74.7</v>
      </c>
      <c r="I217" s="2" t="str">
        <f t="shared" si="20"/>
        <v>High Risk</v>
      </c>
      <c r="J217" s="4">
        <v>77.3</v>
      </c>
      <c r="K217" s="2" t="str">
        <f t="shared" ref="K217:K280" si="23">IF(J217&gt;70,"High Confidence",IF(J217&gt;30,"Moderate Confidence",IF(J217&lt;30,"Low Confidence")))</f>
        <v>High Confidence</v>
      </c>
      <c r="L217" s="4" t="s">
        <v>30</v>
      </c>
      <c r="M217" s="2" t="str">
        <f t="shared" si="21"/>
        <v>AI Generated</v>
      </c>
      <c r="N217" s="4">
        <v>0.68799999999999994</v>
      </c>
      <c r="O217" s="4" t="s">
        <v>30</v>
      </c>
      <c r="P217" s="4">
        <v>3739561</v>
      </c>
      <c r="Q217" s="2" t="str">
        <f t="shared" si="19"/>
        <v>Medium</v>
      </c>
      <c r="R217" s="4">
        <v>12553869</v>
      </c>
      <c r="S217" s="2" t="str">
        <f t="shared" si="22"/>
        <v>Highly Viral</v>
      </c>
      <c r="T217" s="4" t="s">
        <v>24</v>
      </c>
      <c r="U217" s="6" t="s">
        <v>48</v>
      </c>
    </row>
    <row r="218" spans="1:21" x14ac:dyDescent="0.3">
      <c r="A218" s="2" t="s">
        <v>278</v>
      </c>
      <c r="B218" s="8">
        <v>45529</v>
      </c>
      <c r="C218" s="2" t="s">
        <v>69</v>
      </c>
      <c r="D218" s="2" t="s">
        <v>40</v>
      </c>
      <c r="E218" s="2" t="s">
        <v>47</v>
      </c>
      <c r="F218" s="2" t="s">
        <v>76</v>
      </c>
      <c r="G218" s="2" t="s">
        <v>67</v>
      </c>
      <c r="H218" s="13">
        <v>29.5</v>
      </c>
      <c r="I218" s="2" t="str">
        <f t="shared" si="20"/>
        <v>Moderate Risk</v>
      </c>
      <c r="J218" s="2">
        <v>95.1</v>
      </c>
      <c r="K218" s="2" t="str">
        <f t="shared" si="23"/>
        <v>High Confidence</v>
      </c>
      <c r="L218" s="2" t="s">
        <v>22</v>
      </c>
      <c r="M218" s="2" t="str">
        <f t="shared" si="21"/>
        <v>Human Content</v>
      </c>
      <c r="N218" s="2">
        <v>8.5999999999999993E-2</v>
      </c>
      <c r="O218" s="2" t="s">
        <v>23</v>
      </c>
      <c r="P218" s="2">
        <v>1188557</v>
      </c>
      <c r="Q218" s="2" t="str">
        <f t="shared" si="19"/>
        <v>Medium</v>
      </c>
      <c r="R218" s="2">
        <v>11688470</v>
      </c>
      <c r="S218" s="2" t="str">
        <f t="shared" si="22"/>
        <v>Highly Viral</v>
      </c>
      <c r="T218" s="2" t="s">
        <v>56</v>
      </c>
      <c r="U218" s="3" t="s">
        <v>25</v>
      </c>
    </row>
    <row r="219" spans="1:21" x14ac:dyDescent="0.3">
      <c r="A219" s="4" t="s">
        <v>279</v>
      </c>
      <c r="B219" s="9">
        <v>45467</v>
      </c>
      <c r="C219" s="4" t="s">
        <v>54</v>
      </c>
      <c r="D219" s="4" t="s">
        <v>50</v>
      </c>
      <c r="E219" s="4" t="s">
        <v>71</v>
      </c>
      <c r="F219" s="4" t="s">
        <v>52</v>
      </c>
      <c r="G219" s="4" t="s">
        <v>37</v>
      </c>
      <c r="H219" s="14">
        <v>9.8000000000000007</v>
      </c>
      <c r="I219" s="2" t="str">
        <f t="shared" si="20"/>
        <v>Moderate Risk</v>
      </c>
      <c r="J219" s="4">
        <v>85.4</v>
      </c>
      <c r="K219" s="2" t="str">
        <f t="shared" si="23"/>
        <v>High Confidence</v>
      </c>
      <c r="L219" s="4" t="s">
        <v>22</v>
      </c>
      <c r="M219" s="2" t="str">
        <f t="shared" si="21"/>
        <v>Human Content</v>
      </c>
      <c r="N219" s="4">
        <v>0.45200000000000001</v>
      </c>
      <c r="O219" s="4" t="s">
        <v>30</v>
      </c>
      <c r="P219" s="4">
        <v>2518897</v>
      </c>
      <c r="Q219" s="2" t="str">
        <f t="shared" si="19"/>
        <v>Medium</v>
      </c>
      <c r="R219" s="4">
        <v>1499814</v>
      </c>
      <c r="S219" s="2" t="str">
        <f t="shared" si="22"/>
        <v>Moderately Viral</v>
      </c>
      <c r="T219" s="4" t="s">
        <v>61</v>
      </c>
      <c r="U219" s="3" t="s">
        <v>25</v>
      </c>
    </row>
    <row r="220" spans="1:21" x14ac:dyDescent="0.3">
      <c r="A220" s="2" t="s">
        <v>280</v>
      </c>
      <c r="B220" s="8">
        <v>45303</v>
      </c>
      <c r="C220" s="2" t="s">
        <v>39</v>
      </c>
      <c r="D220" s="2" t="s">
        <v>18</v>
      </c>
      <c r="E220" s="2" t="s">
        <v>35</v>
      </c>
      <c r="F220" s="2" t="s">
        <v>36</v>
      </c>
      <c r="G220" s="2" t="s">
        <v>21</v>
      </c>
      <c r="H220" s="13">
        <v>51.6</v>
      </c>
      <c r="I220" s="2" t="str">
        <f t="shared" si="20"/>
        <v>Moderate Risk</v>
      </c>
      <c r="J220" s="2">
        <v>77</v>
      </c>
      <c r="K220" s="2" t="str">
        <f t="shared" si="23"/>
        <v>High Confidence</v>
      </c>
      <c r="L220" s="2" t="s">
        <v>43</v>
      </c>
      <c r="M220" s="2" t="str">
        <f t="shared" si="21"/>
        <v>Human Content</v>
      </c>
      <c r="N220" s="2">
        <v>0.33100000000000002</v>
      </c>
      <c r="O220" s="2" t="s">
        <v>22</v>
      </c>
      <c r="P220" s="2">
        <v>3876091</v>
      </c>
      <c r="Q220" s="2" t="str">
        <f t="shared" si="19"/>
        <v>Medium</v>
      </c>
      <c r="R220" s="2">
        <v>7780281</v>
      </c>
      <c r="S220" s="2" t="str">
        <f t="shared" si="22"/>
        <v>Highly Viral</v>
      </c>
      <c r="T220" s="2" t="s">
        <v>24</v>
      </c>
      <c r="U220" s="5" t="s">
        <v>32</v>
      </c>
    </row>
    <row r="221" spans="1:21" x14ac:dyDescent="0.3">
      <c r="A221" s="4" t="s">
        <v>281</v>
      </c>
      <c r="B221" s="9">
        <v>45614</v>
      </c>
      <c r="C221" s="4" t="s">
        <v>69</v>
      </c>
      <c r="D221" s="4" t="s">
        <v>50</v>
      </c>
      <c r="E221" s="4" t="s">
        <v>88</v>
      </c>
      <c r="F221" s="4" t="s">
        <v>76</v>
      </c>
      <c r="G221" s="4" t="s">
        <v>67</v>
      </c>
      <c r="H221" s="14">
        <v>73.7</v>
      </c>
      <c r="I221" s="2" t="str">
        <f t="shared" si="20"/>
        <v>High Risk</v>
      </c>
      <c r="J221" s="4">
        <v>93.3</v>
      </c>
      <c r="K221" s="2" t="str">
        <f t="shared" si="23"/>
        <v>High Confidence</v>
      </c>
      <c r="L221" s="4" t="s">
        <v>30</v>
      </c>
      <c r="M221" s="2" t="str">
        <f t="shared" si="21"/>
        <v>AI Generated</v>
      </c>
      <c r="N221" s="4">
        <v>0.45</v>
      </c>
      <c r="O221" s="4" t="s">
        <v>22</v>
      </c>
      <c r="P221" s="4">
        <v>3261890</v>
      </c>
      <c r="Q221" s="2" t="str">
        <f t="shared" si="19"/>
        <v>Medium</v>
      </c>
      <c r="R221" s="4">
        <v>149818</v>
      </c>
      <c r="S221" s="2" t="str">
        <f t="shared" si="22"/>
        <v>Low Viral</v>
      </c>
      <c r="T221" s="4" t="s">
        <v>31</v>
      </c>
      <c r="U221" s="6" t="s">
        <v>48</v>
      </c>
    </row>
    <row r="222" spans="1:21" x14ac:dyDescent="0.3">
      <c r="A222" s="2" t="s">
        <v>282</v>
      </c>
      <c r="B222" s="8">
        <v>45397</v>
      </c>
      <c r="C222" s="2" t="s">
        <v>34</v>
      </c>
      <c r="D222" s="2" t="s">
        <v>18</v>
      </c>
      <c r="E222" s="2" t="s">
        <v>73</v>
      </c>
      <c r="F222" s="2" t="s">
        <v>58</v>
      </c>
      <c r="G222" s="2" t="s">
        <v>21</v>
      </c>
      <c r="H222" s="13">
        <v>36.6</v>
      </c>
      <c r="I222" s="2" t="str">
        <f t="shared" si="20"/>
        <v>Moderate Risk</v>
      </c>
      <c r="J222" s="2">
        <v>59.7</v>
      </c>
      <c r="K222" s="2" t="str">
        <f t="shared" si="23"/>
        <v>Moderate Confidence</v>
      </c>
      <c r="L222" s="2" t="s">
        <v>43</v>
      </c>
      <c r="M222" s="2" t="str">
        <f t="shared" si="21"/>
        <v>Human Content</v>
      </c>
      <c r="N222" s="2">
        <v>0.114</v>
      </c>
      <c r="O222" s="2" t="s">
        <v>23</v>
      </c>
      <c r="P222" s="2">
        <v>4106189</v>
      </c>
      <c r="Q222" s="2" t="str">
        <f t="shared" si="19"/>
        <v>High</v>
      </c>
      <c r="R222" s="2">
        <v>17707677</v>
      </c>
      <c r="S222" s="2" t="str">
        <f t="shared" si="22"/>
        <v>Highly Viral</v>
      </c>
      <c r="T222" s="2" t="s">
        <v>56</v>
      </c>
      <c r="U222" s="5" t="s">
        <v>32</v>
      </c>
    </row>
    <row r="223" spans="1:21" x14ac:dyDescent="0.3">
      <c r="A223" s="4" t="s">
        <v>283</v>
      </c>
      <c r="B223" s="9">
        <v>45597</v>
      </c>
      <c r="C223" s="4" t="s">
        <v>78</v>
      </c>
      <c r="D223" s="4" t="s">
        <v>60</v>
      </c>
      <c r="E223" s="4" t="s">
        <v>88</v>
      </c>
      <c r="F223" s="4" t="s">
        <v>58</v>
      </c>
      <c r="G223" s="4" t="s">
        <v>67</v>
      </c>
      <c r="H223" s="14">
        <v>34.799999999999997</v>
      </c>
      <c r="I223" s="2" t="str">
        <f t="shared" si="20"/>
        <v>Moderate Risk</v>
      </c>
      <c r="J223" s="4">
        <v>91.4</v>
      </c>
      <c r="K223" s="2" t="str">
        <f t="shared" si="23"/>
        <v>High Confidence</v>
      </c>
      <c r="L223" s="4" t="s">
        <v>22</v>
      </c>
      <c r="M223" s="2" t="str">
        <f t="shared" si="21"/>
        <v>Human Content</v>
      </c>
      <c r="N223" s="4">
        <v>0.61699999999999999</v>
      </c>
      <c r="O223" s="4" t="s">
        <v>23</v>
      </c>
      <c r="P223" s="4">
        <v>2495248</v>
      </c>
      <c r="Q223" s="2" t="str">
        <f t="shared" si="19"/>
        <v>Medium</v>
      </c>
      <c r="R223" s="4">
        <v>19803264</v>
      </c>
      <c r="S223" s="2" t="str">
        <f t="shared" si="22"/>
        <v>Highly Viral</v>
      </c>
      <c r="T223" s="4" t="s">
        <v>61</v>
      </c>
      <c r="U223" s="3" t="s">
        <v>25</v>
      </c>
    </row>
    <row r="224" spans="1:21" x14ac:dyDescent="0.3">
      <c r="A224" s="2" t="s">
        <v>284</v>
      </c>
      <c r="B224" s="8">
        <v>45636</v>
      </c>
      <c r="C224" s="2" t="s">
        <v>69</v>
      </c>
      <c r="D224" s="2" t="s">
        <v>40</v>
      </c>
      <c r="E224" s="2" t="s">
        <v>73</v>
      </c>
      <c r="F224" s="2" t="s">
        <v>20</v>
      </c>
      <c r="G224" s="2" t="s">
        <v>64</v>
      </c>
      <c r="H224" s="13">
        <v>11.7</v>
      </c>
      <c r="I224" s="2" t="str">
        <f t="shared" si="20"/>
        <v>Moderate Risk</v>
      </c>
      <c r="J224" s="2">
        <v>68.3</v>
      </c>
      <c r="K224" s="2" t="str">
        <f t="shared" si="23"/>
        <v>Moderate Confidence</v>
      </c>
      <c r="L224" s="2" t="s">
        <v>22</v>
      </c>
      <c r="M224" s="2" t="str">
        <f t="shared" si="21"/>
        <v>Human Content</v>
      </c>
      <c r="N224" s="2">
        <v>0.14099999999999999</v>
      </c>
      <c r="O224" s="2" t="s">
        <v>22</v>
      </c>
      <c r="P224" s="2">
        <v>3508543</v>
      </c>
      <c r="Q224" s="2" t="str">
        <f t="shared" si="19"/>
        <v>Medium</v>
      </c>
      <c r="R224" s="2">
        <v>4626558</v>
      </c>
      <c r="S224" s="2" t="str">
        <f t="shared" si="22"/>
        <v>Moderately Viral</v>
      </c>
      <c r="T224" s="2" t="s">
        <v>44</v>
      </c>
      <c r="U224" s="3" t="s">
        <v>25</v>
      </c>
    </row>
    <row r="225" spans="1:21" x14ac:dyDescent="0.3">
      <c r="A225" s="4" t="s">
        <v>285</v>
      </c>
      <c r="B225" s="9">
        <v>45488</v>
      </c>
      <c r="C225" s="4" t="s">
        <v>78</v>
      </c>
      <c r="D225" s="4" t="s">
        <v>50</v>
      </c>
      <c r="E225" s="4" t="s">
        <v>71</v>
      </c>
      <c r="F225" s="4" t="s">
        <v>36</v>
      </c>
      <c r="G225" s="4" t="s">
        <v>29</v>
      </c>
      <c r="H225" s="14">
        <v>69.3</v>
      </c>
      <c r="I225" s="2" t="str">
        <f t="shared" si="20"/>
        <v>High Risk</v>
      </c>
      <c r="J225" s="4">
        <v>81.599999999999994</v>
      </c>
      <c r="K225" s="2" t="str">
        <f t="shared" si="23"/>
        <v>High Confidence</v>
      </c>
      <c r="L225" s="4" t="s">
        <v>30</v>
      </c>
      <c r="M225" s="2" t="str">
        <f t="shared" si="21"/>
        <v>AI Generated</v>
      </c>
      <c r="N225" s="4">
        <v>1</v>
      </c>
      <c r="O225" s="4" t="s">
        <v>23</v>
      </c>
      <c r="P225" s="4">
        <v>1399869</v>
      </c>
      <c r="Q225" s="2" t="str">
        <f t="shared" si="19"/>
        <v>Medium</v>
      </c>
      <c r="R225" s="4">
        <v>16430160</v>
      </c>
      <c r="S225" s="2" t="str">
        <f t="shared" si="22"/>
        <v>Highly Viral</v>
      </c>
      <c r="T225" s="4" t="s">
        <v>56</v>
      </c>
      <c r="U225" s="6" t="s">
        <v>48</v>
      </c>
    </row>
    <row r="226" spans="1:21" x14ac:dyDescent="0.3">
      <c r="A226" s="2" t="s">
        <v>286</v>
      </c>
      <c r="B226" s="8">
        <v>45363</v>
      </c>
      <c r="C226" s="2" t="s">
        <v>69</v>
      </c>
      <c r="D226" s="2" t="s">
        <v>40</v>
      </c>
      <c r="E226" s="2" t="s">
        <v>71</v>
      </c>
      <c r="F226" s="2" t="s">
        <v>58</v>
      </c>
      <c r="G226" s="2" t="s">
        <v>67</v>
      </c>
      <c r="H226" s="13">
        <v>86.6</v>
      </c>
      <c r="I226" s="2" t="str">
        <f t="shared" si="20"/>
        <v>High Risk</v>
      </c>
      <c r="J226" s="2">
        <v>96.6</v>
      </c>
      <c r="K226" s="2" t="str">
        <f t="shared" si="23"/>
        <v>High Confidence</v>
      </c>
      <c r="L226" s="2" t="s">
        <v>30</v>
      </c>
      <c r="M226" s="2" t="str">
        <f t="shared" si="21"/>
        <v>AI Generated</v>
      </c>
      <c r="N226" s="2">
        <v>0.48499999999999999</v>
      </c>
      <c r="O226" s="2" t="s">
        <v>30</v>
      </c>
      <c r="P226" s="2">
        <v>3220857</v>
      </c>
      <c r="Q226" s="2" t="str">
        <f t="shared" si="19"/>
        <v>Medium</v>
      </c>
      <c r="R226" s="2">
        <v>18844067</v>
      </c>
      <c r="S226" s="2" t="str">
        <f t="shared" si="22"/>
        <v>Highly Viral</v>
      </c>
      <c r="T226" s="2" t="s">
        <v>44</v>
      </c>
      <c r="U226" s="6" t="s">
        <v>48</v>
      </c>
    </row>
    <row r="227" spans="1:21" x14ac:dyDescent="0.3">
      <c r="A227" s="4" t="s">
        <v>287</v>
      </c>
      <c r="B227" s="9">
        <v>45626</v>
      </c>
      <c r="C227" s="4" t="s">
        <v>54</v>
      </c>
      <c r="D227" s="4" t="s">
        <v>55</v>
      </c>
      <c r="E227" s="4" t="s">
        <v>71</v>
      </c>
      <c r="F227" s="4" t="s">
        <v>76</v>
      </c>
      <c r="G227" s="4" t="s">
        <v>42</v>
      </c>
      <c r="H227" s="14">
        <v>84</v>
      </c>
      <c r="I227" s="2" t="str">
        <f t="shared" si="20"/>
        <v>High Risk</v>
      </c>
      <c r="J227" s="4">
        <v>73.900000000000006</v>
      </c>
      <c r="K227" s="2" t="str">
        <f t="shared" si="23"/>
        <v>High Confidence</v>
      </c>
      <c r="L227" s="4" t="s">
        <v>30</v>
      </c>
      <c r="M227" s="2" t="str">
        <f t="shared" si="21"/>
        <v>AI Generated</v>
      </c>
      <c r="N227" s="4">
        <v>8.3000000000000004E-2</v>
      </c>
      <c r="O227" s="4" t="s">
        <v>30</v>
      </c>
      <c r="P227" s="4">
        <v>1850035</v>
      </c>
      <c r="Q227" s="2" t="str">
        <f t="shared" si="19"/>
        <v>Medium</v>
      </c>
      <c r="R227" s="4">
        <v>9801411</v>
      </c>
      <c r="S227" s="2" t="str">
        <f t="shared" si="22"/>
        <v>Highly Viral</v>
      </c>
      <c r="T227" s="4" t="s">
        <v>61</v>
      </c>
      <c r="U227" s="6" t="s">
        <v>48</v>
      </c>
    </row>
    <row r="228" spans="1:21" x14ac:dyDescent="0.3">
      <c r="A228" s="2" t="s">
        <v>288</v>
      </c>
      <c r="B228" s="8">
        <v>45432</v>
      </c>
      <c r="C228" s="2" t="s">
        <v>46</v>
      </c>
      <c r="D228" s="2" t="s">
        <v>60</v>
      </c>
      <c r="E228" s="2" t="s">
        <v>19</v>
      </c>
      <c r="F228" s="2" t="s">
        <v>20</v>
      </c>
      <c r="G228" s="2" t="s">
        <v>74</v>
      </c>
      <c r="H228" s="13">
        <v>45.7</v>
      </c>
      <c r="I228" s="2" t="str">
        <f t="shared" si="20"/>
        <v>Moderate Risk</v>
      </c>
      <c r="J228" s="2">
        <v>86.4</v>
      </c>
      <c r="K228" s="2" t="str">
        <f t="shared" si="23"/>
        <v>High Confidence</v>
      </c>
      <c r="L228" s="2" t="s">
        <v>43</v>
      </c>
      <c r="M228" s="2" t="str">
        <f t="shared" si="21"/>
        <v>Human Content</v>
      </c>
      <c r="N228" s="2">
        <v>0.76600000000000001</v>
      </c>
      <c r="O228" s="2" t="s">
        <v>23</v>
      </c>
      <c r="P228" s="2">
        <v>4285051</v>
      </c>
      <c r="Q228" s="2" t="str">
        <f t="shared" si="19"/>
        <v>High</v>
      </c>
      <c r="R228" s="2">
        <v>3799230</v>
      </c>
      <c r="S228" s="2" t="str">
        <f t="shared" si="22"/>
        <v>Moderately Viral</v>
      </c>
      <c r="T228" s="2" t="s">
        <v>44</v>
      </c>
      <c r="U228" s="5" t="s">
        <v>32</v>
      </c>
    </row>
    <row r="229" spans="1:21" x14ac:dyDescent="0.3">
      <c r="A229" s="4" t="s">
        <v>289</v>
      </c>
      <c r="B229" s="9">
        <v>45350</v>
      </c>
      <c r="C229" s="4" t="s">
        <v>34</v>
      </c>
      <c r="D229" s="4" t="s">
        <v>60</v>
      </c>
      <c r="E229" s="4" t="s">
        <v>51</v>
      </c>
      <c r="F229" s="4" t="s">
        <v>58</v>
      </c>
      <c r="G229" s="4" t="s">
        <v>74</v>
      </c>
      <c r="H229" s="14">
        <v>75.7</v>
      </c>
      <c r="I229" s="2" t="str">
        <f t="shared" si="20"/>
        <v>High Risk</v>
      </c>
      <c r="J229" s="4">
        <v>87.2</v>
      </c>
      <c r="K229" s="2" t="str">
        <f t="shared" si="23"/>
        <v>High Confidence</v>
      </c>
      <c r="L229" s="4" t="s">
        <v>30</v>
      </c>
      <c r="M229" s="2" t="str">
        <f t="shared" si="21"/>
        <v>AI Generated</v>
      </c>
      <c r="N229" s="4">
        <v>0.441</v>
      </c>
      <c r="O229" s="4" t="s">
        <v>30</v>
      </c>
      <c r="P229" s="4">
        <v>3566556</v>
      </c>
      <c r="Q229" s="2" t="str">
        <f t="shared" si="19"/>
        <v>Medium</v>
      </c>
      <c r="R229" s="4">
        <v>3437025</v>
      </c>
      <c r="S229" s="2" t="str">
        <f t="shared" si="22"/>
        <v>Moderately Viral</v>
      </c>
      <c r="T229" s="4" t="s">
        <v>31</v>
      </c>
      <c r="U229" s="6" t="s">
        <v>48</v>
      </c>
    </row>
    <row r="230" spans="1:21" x14ac:dyDescent="0.3">
      <c r="A230" s="2" t="s">
        <v>290</v>
      </c>
      <c r="B230" s="8">
        <v>45444</v>
      </c>
      <c r="C230" s="2" t="s">
        <v>27</v>
      </c>
      <c r="D230" s="2" t="s">
        <v>55</v>
      </c>
      <c r="E230" s="2" t="s">
        <v>19</v>
      </c>
      <c r="F230" s="2" t="s">
        <v>52</v>
      </c>
      <c r="G230" s="2" t="s">
        <v>74</v>
      </c>
      <c r="H230" s="13">
        <v>81.7</v>
      </c>
      <c r="I230" s="2" t="str">
        <f t="shared" si="20"/>
        <v>High Risk</v>
      </c>
      <c r="J230" s="2">
        <v>71.5</v>
      </c>
      <c r="K230" s="2" t="str">
        <f t="shared" si="23"/>
        <v>High Confidence</v>
      </c>
      <c r="L230" s="2" t="s">
        <v>30</v>
      </c>
      <c r="M230" s="2" t="str">
        <f t="shared" si="21"/>
        <v>AI Generated</v>
      </c>
      <c r="N230" s="2">
        <v>0.99399999999999999</v>
      </c>
      <c r="O230" s="2" t="s">
        <v>30</v>
      </c>
      <c r="P230" s="2">
        <v>1760685</v>
      </c>
      <c r="Q230" s="2" t="str">
        <f t="shared" si="19"/>
        <v>Medium</v>
      </c>
      <c r="R230" s="2">
        <v>19727952</v>
      </c>
      <c r="S230" s="2" t="str">
        <f t="shared" si="22"/>
        <v>Highly Viral</v>
      </c>
      <c r="T230" s="2" t="s">
        <v>56</v>
      </c>
      <c r="U230" s="6" t="s">
        <v>48</v>
      </c>
    </row>
    <row r="231" spans="1:21" x14ac:dyDescent="0.3">
      <c r="A231" s="4" t="s">
        <v>291</v>
      </c>
      <c r="B231" s="9">
        <v>45655</v>
      </c>
      <c r="C231" s="4" t="s">
        <v>78</v>
      </c>
      <c r="D231" s="4" t="s">
        <v>50</v>
      </c>
      <c r="E231" s="4" t="s">
        <v>35</v>
      </c>
      <c r="F231" s="4" t="s">
        <v>20</v>
      </c>
      <c r="G231" s="4" t="s">
        <v>74</v>
      </c>
      <c r="H231" s="14">
        <v>20.7</v>
      </c>
      <c r="I231" s="2" t="str">
        <f t="shared" si="20"/>
        <v>Moderate Risk</v>
      </c>
      <c r="J231" s="4">
        <v>52.9</v>
      </c>
      <c r="K231" s="2" t="str">
        <f t="shared" si="23"/>
        <v>Moderate Confidence</v>
      </c>
      <c r="L231" s="4" t="s">
        <v>22</v>
      </c>
      <c r="M231" s="2" t="str">
        <f t="shared" si="21"/>
        <v>Human Content</v>
      </c>
      <c r="N231" s="4">
        <v>0.35099999999999998</v>
      </c>
      <c r="O231" s="4" t="s">
        <v>22</v>
      </c>
      <c r="P231" s="4">
        <v>4519618</v>
      </c>
      <c r="Q231" s="2" t="str">
        <f t="shared" ref="Q231:Q294" si="24">IF(P231&gt;4000000,"High",IF(P231&gt;1000000,"Medium",IF(P231&lt;1000000,"Low")))</f>
        <v>High</v>
      </c>
      <c r="R231" s="4">
        <v>5650306</v>
      </c>
      <c r="S231" s="2" t="str">
        <f t="shared" si="22"/>
        <v>Highly Viral</v>
      </c>
      <c r="T231" s="4" t="s">
        <v>56</v>
      </c>
      <c r="U231" s="3" t="s">
        <v>25</v>
      </c>
    </row>
    <row r="232" spans="1:21" x14ac:dyDescent="0.3">
      <c r="A232" s="2" t="s">
        <v>292</v>
      </c>
      <c r="B232" s="8">
        <v>45652</v>
      </c>
      <c r="C232" s="2" t="s">
        <v>34</v>
      </c>
      <c r="D232" s="2" t="s">
        <v>40</v>
      </c>
      <c r="E232" s="2" t="s">
        <v>19</v>
      </c>
      <c r="F232" s="2" t="s">
        <v>58</v>
      </c>
      <c r="G232" s="2" t="s">
        <v>42</v>
      </c>
      <c r="H232" s="13">
        <v>81.5</v>
      </c>
      <c r="I232" s="2" t="str">
        <f t="shared" si="20"/>
        <v>High Risk</v>
      </c>
      <c r="J232" s="2">
        <v>56.6</v>
      </c>
      <c r="K232" s="2" t="str">
        <f t="shared" si="23"/>
        <v>Moderate Confidence</v>
      </c>
      <c r="L232" s="2" t="s">
        <v>30</v>
      </c>
      <c r="M232" s="2" t="str">
        <f t="shared" si="21"/>
        <v>AI Generated</v>
      </c>
      <c r="N232" s="2">
        <v>0.75</v>
      </c>
      <c r="O232" s="2" t="s">
        <v>22</v>
      </c>
      <c r="P232" s="2">
        <v>497426</v>
      </c>
      <c r="Q232" s="2" t="str">
        <f t="shared" si="24"/>
        <v>Low</v>
      </c>
      <c r="R232" s="2">
        <v>9305933</v>
      </c>
      <c r="S232" s="2" t="str">
        <f t="shared" si="22"/>
        <v>Highly Viral</v>
      </c>
      <c r="T232" s="2" t="s">
        <v>31</v>
      </c>
      <c r="U232" s="6" t="s">
        <v>48</v>
      </c>
    </row>
    <row r="233" spans="1:21" x14ac:dyDescent="0.3">
      <c r="A233" s="4" t="s">
        <v>293</v>
      </c>
      <c r="B233" s="9">
        <v>45651</v>
      </c>
      <c r="C233" s="4" t="s">
        <v>69</v>
      </c>
      <c r="D233" s="4" t="s">
        <v>50</v>
      </c>
      <c r="E233" s="4" t="s">
        <v>35</v>
      </c>
      <c r="F233" s="4" t="s">
        <v>36</v>
      </c>
      <c r="G233" s="4" t="s">
        <v>64</v>
      </c>
      <c r="H233" s="14">
        <v>82.8</v>
      </c>
      <c r="I233" s="2" t="str">
        <f t="shared" si="20"/>
        <v>High Risk</v>
      </c>
      <c r="J233" s="4">
        <v>87.3</v>
      </c>
      <c r="K233" s="2" t="str">
        <f t="shared" si="23"/>
        <v>High Confidence</v>
      </c>
      <c r="L233" s="4" t="s">
        <v>30</v>
      </c>
      <c r="M233" s="2" t="str">
        <f t="shared" si="21"/>
        <v>AI Generated</v>
      </c>
      <c r="N233" s="4">
        <v>0.67600000000000005</v>
      </c>
      <c r="O233" s="4" t="s">
        <v>22</v>
      </c>
      <c r="P233" s="4">
        <v>1192722</v>
      </c>
      <c r="Q233" s="2" t="str">
        <f t="shared" si="24"/>
        <v>Medium</v>
      </c>
      <c r="R233" s="4">
        <v>19375685</v>
      </c>
      <c r="S233" s="2" t="str">
        <f t="shared" si="22"/>
        <v>Highly Viral</v>
      </c>
      <c r="T233" s="4" t="s">
        <v>56</v>
      </c>
      <c r="U233" s="6" t="s">
        <v>48</v>
      </c>
    </row>
    <row r="234" spans="1:21" x14ac:dyDescent="0.3">
      <c r="A234" s="2" t="s">
        <v>294</v>
      </c>
      <c r="B234" s="8">
        <v>45613</v>
      </c>
      <c r="C234" s="2" t="s">
        <v>78</v>
      </c>
      <c r="D234" s="2" t="s">
        <v>55</v>
      </c>
      <c r="E234" s="2" t="s">
        <v>71</v>
      </c>
      <c r="F234" s="2" t="s">
        <v>41</v>
      </c>
      <c r="G234" s="2" t="s">
        <v>42</v>
      </c>
      <c r="H234" s="13">
        <v>79.5</v>
      </c>
      <c r="I234" s="2" t="str">
        <f t="shared" si="20"/>
        <v>High Risk</v>
      </c>
      <c r="J234" s="2">
        <v>87.7</v>
      </c>
      <c r="K234" s="2" t="str">
        <f t="shared" si="23"/>
        <v>High Confidence</v>
      </c>
      <c r="L234" s="2" t="s">
        <v>30</v>
      </c>
      <c r="M234" s="2" t="str">
        <f t="shared" si="21"/>
        <v>AI Generated</v>
      </c>
      <c r="N234" s="2">
        <v>0.40300000000000002</v>
      </c>
      <c r="O234" s="2" t="s">
        <v>23</v>
      </c>
      <c r="P234" s="2">
        <v>2334026</v>
      </c>
      <c r="Q234" s="2" t="str">
        <f t="shared" si="24"/>
        <v>Medium</v>
      </c>
      <c r="R234" s="2">
        <v>12384473</v>
      </c>
      <c r="S234" s="2" t="str">
        <f t="shared" si="22"/>
        <v>Highly Viral</v>
      </c>
      <c r="T234" s="2" t="s">
        <v>24</v>
      </c>
      <c r="U234" s="6" t="s">
        <v>48</v>
      </c>
    </row>
    <row r="235" spans="1:21" x14ac:dyDescent="0.3">
      <c r="A235" s="4" t="s">
        <v>295</v>
      </c>
      <c r="B235" s="9">
        <v>45541</v>
      </c>
      <c r="C235" s="4" t="s">
        <v>39</v>
      </c>
      <c r="D235" s="4" t="s">
        <v>60</v>
      </c>
      <c r="E235" s="4" t="s">
        <v>47</v>
      </c>
      <c r="F235" s="4" t="s">
        <v>36</v>
      </c>
      <c r="G235" s="4" t="s">
        <v>67</v>
      </c>
      <c r="H235" s="14">
        <v>73.099999999999994</v>
      </c>
      <c r="I235" s="2" t="str">
        <f t="shared" si="20"/>
        <v>High Risk</v>
      </c>
      <c r="J235" s="4">
        <v>72.5</v>
      </c>
      <c r="K235" s="2" t="str">
        <f t="shared" si="23"/>
        <v>High Confidence</v>
      </c>
      <c r="L235" s="4" t="s">
        <v>30</v>
      </c>
      <c r="M235" s="2" t="str">
        <f t="shared" si="21"/>
        <v>AI Generated</v>
      </c>
      <c r="N235" s="4">
        <v>0.66400000000000003</v>
      </c>
      <c r="O235" s="4" t="s">
        <v>22</v>
      </c>
      <c r="P235" s="4">
        <v>531356</v>
      </c>
      <c r="Q235" s="2" t="str">
        <f t="shared" si="24"/>
        <v>Low</v>
      </c>
      <c r="R235" s="4">
        <v>17932809</v>
      </c>
      <c r="S235" s="2" t="str">
        <f t="shared" si="22"/>
        <v>Highly Viral</v>
      </c>
      <c r="T235" s="4" t="s">
        <v>24</v>
      </c>
      <c r="U235" s="6" t="s">
        <v>48</v>
      </c>
    </row>
    <row r="236" spans="1:21" x14ac:dyDescent="0.3">
      <c r="A236" s="2" t="s">
        <v>296</v>
      </c>
      <c r="B236" s="8">
        <v>45403</v>
      </c>
      <c r="C236" s="2" t="s">
        <v>78</v>
      </c>
      <c r="D236" s="2" t="s">
        <v>50</v>
      </c>
      <c r="E236" s="2" t="s">
        <v>71</v>
      </c>
      <c r="F236" s="2" t="s">
        <v>52</v>
      </c>
      <c r="G236" s="2" t="s">
        <v>64</v>
      </c>
      <c r="H236" s="13">
        <v>82.8</v>
      </c>
      <c r="I236" s="2" t="str">
        <f t="shared" si="20"/>
        <v>High Risk</v>
      </c>
      <c r="J236" s="2">
        <v>66.599999999999994</v>
      </c>
      <c r="K236" s="2" t="str">
        <f t="shared" si="23"/>
        <v>Moderate Confidence</v>
      </c>
      <c r="L236" s="2" t="s">
        <v>30</v>
      </c>
      <c r="M236" s="2" t="str">
        <f t="shared" si="21"/>
        <v>AI Generated</v>
      </c>
      <c r="N236" s="2">
        <v>0.57799999999999996</v>
      </c>
      <c r="O236" s="2" t="s">
        <v>23</v>
      </c>
      <c r="P236" s="2">
        <v>4071409</v>
      </c>
      <c r="Q236" s="2" t="str">
        <f t="shared" si="24"/>
        <v>High</v>
      </c>
      <c r="R236" s="2">
        <v>11534487</v>
      </c>
      <c r="S236" s="2" t="str">
        <f t="shared" si="22"/>
        <v>Highly Viral</v>
      </c>
      <c r="T236" s="2" t="s">
        <v>61</v>
      </c>
      <c r="U236" s="6" t="s">
        <v>48</v>
      </c>
    </row>
    <row r="237" spans="1:21" x14ac:dyDescent="0.3">
      <c r="A237" s="4" t="s">
        <v>297</v>
      </c>
      <c r="B237" s="9">
        <v>45315</v>
      </c>
      <c r="C237" s="4" t="s">
        <v>17</v>
      </c>
      <c r="D237" s="4" t="s">
        <v>55</v>
      </c>
      <c r="E237" s="4" t="s">
        <v>47</v>
      </c>
      <c r="F237" s="4" t="s">
        <v>41</v>
      </c>
      <c r="G237" s="4" t="s">
        <v>74</v>
      </c>
      <c r="H237" s="14">
        <v>15.8</v>
      </c>
      <c r="I237" s="2" t="str">
        <f t="shared" si="20"/>
        <v>Moderate Risk</v>
      </c>
      <c r="J237" s="4">
        <v>72.400000000000006</v>
      </c>
      <c r="K237" s="2" t="str">
        <f t="shared" si="23"/>
        <v>High Confidence</v>
      </c>
      <c r="L237" s="4" t="s">
        <v>22</v>
      </c>
      <c r="M237" s="2" t="str">
        <f t="shared" si="21"/>
        <v>Human Content</v>
      </c>
      <c r="N237" s="4">
        <v>0.99199999999999999</v>
      </c>
      <c r="O237" s="4" t="s">
        <v>22</v>
      </c>
      <c r="P237" s="4">
        <v>1697268</v>
      </c>
      <c r="Q237" s="2" t="str">
        <f t="shared" si="24"/>
        <v>Medium</v>
      </c>
      <c r="R237" s="4">
        <v>4426768</v>
      </c>
      <c r="S237" s="2" t="str">
        <f t="shared" si="22"/>
        <v>Moderately Viral</v>
      </c>
      <c r="T237" s="4" t="s">
        <v>56</v>
      </c>
      <c r="U237" s="3" t="s">
        <v>25</v>
      </c>
    </row>
    <row r="238" spans="1:21" x14ac:dyDescent="0.3">
      <c r="A238" s="2" t="s">
        <v>298</v>
      </c>
      <c r="B238" s="8">
        <v>45373</v>
      </c>
      <c r="C238" s="2" t="s">
        <v>34</v>
      </c>
      <c r="D238" s="2" t="s">
        <v>18</v>
      </c>
      <c r="E238" s="2" t="s">
        <v>51</v>
      </c>
      <c r="F238" s="2" t="s">
        <v>52</v>
      </c>
      <c r="G238" s="2" t="s">
        <v>67</v>
      </c>
      <c r="H238" s="13">
        <v>37.200000000000003</v>
      </c>
      <c r="I238" s="2" t="str">
        <f t="shared" si="20"/>
        <v>Moderate Risk</v>
      </c>
      <c r="J238" s="2">
        <v>94.3</v>
      </c>
      <c r="K238" s="2" t="str">
        <f t="shared" si="23"/>
        <v>High Confidence</v>
      </c>
      <c r="L238" s="2" t="s">
        <v>43</v>
      </c>
      <c r="M238" s="2" t="str">
        <f t="shared" si="21"/>
        <v>Human Content</v>
      </c>
      <c r="N238" s="2">
        <v>0.16600000000000001</v>
      </c>
      <c r="O238" s="2" t="s">
        <v>22</v>
      </c>
      <c r="P238" s="2">
        <v>2562897</v>
      </c>
      <c r="Q238" s="2" t="str">
        <f t="shared" si="24"/>
        <v>Medium</v>
      </c>
      <c r="R238" s="2">
        <v>7857063</v>
      </c>
      <c r="S238" s="2" t="str">
        <f t="shared" si="22"/>
        <v>Highly Viral</v>
      </c>
      <c r="T238" s="2" t="s">
        <v>24</v>
      </c>
      <c r="U238" s="5" t="s">
        <v>32</v>
      </c>
    </row>
    <row r="239" spans="1:21" x14ac:dyDescent="0.3">
      <c r="A239" s="4" t="s">
        <v>299</v>
      </c>
      <c r="B239" s="9">
        <v>45627</v>
      </c>
      <c r="C239" s="4" t="s">
        <v>17</v>
      </c>
      <c r="D239" s="4" t="s">
        <v>18</v>
      </c>
      <c r="E239" s="4" t="s">
        <v>47</v>
      </c>
      <c r="F239" s="4" t="s">
        <v>20</v>
      </c>
      <c r="G239" s="4" t="s">
        <v>37</v>
      </c>
      <c r="H239" s="14">
        <v>7.8</v>
      </c>
      <c r="I239" s="2" t="str">
        <f t="shared" si="20"/>
        <v>Moderate Risk</v>
      </c>
      <c r="J239" s="4">
        <v>79.099999999999994</v>
      </c>
      <c r="K239" s="2" t="str">
        <f t="shared" si="23"/>
        <v>High Confidence</v>
      </c>
      <c r="L239" s="4" t="s">
        <v>22</v>
      </c>
      <c r="M239" s="2" t="str">
        <f t="shared" si="21"/>
        <v>Human Content</v>
      </c>
      <c r="N239" s="4">
        <v>0.51900000000000002</v>
      </c>
      <c r="O239" s="4" t="s">
        <v>22</v>
      </c>
      <c r="P239" s="4">
        <v>78004</v>
      </c>
      <c r="Q239" s="2" t="str">
        <f t="shared" si="24"/>
        <v>Low</v>
      </c>
      <c r="R239" s="4">
        <v>271034</v>
      </c>
      <c r="S239" s="2" t="str">
        <f t="shared" si="22"/>
        <v>Low Viral</v>
      </c>
      <c r="T239" s="4" t="s">
        <v>56</v>
      </c>
      <c r="U239" s="3" t="s">
        <v>25</v>
      </c>
    </row>
    <row r="240" spans="1:21" x14ac:dyDescent="0.3">
      <c r="A240" s="2" t="s">
        <v>300</v>
      </c>
      <c r="B240" s="8">
        <v>45353</v>
      </c>
      <c r="C240" s="2" t="s">
        <v>78</v>
      </c>
      <c r="D240" s="2" t="s">
        <v>50</v>
      </c>
      <c r="E240" s="2" t="s">
        <v>71</v>
      </c>
      <c r="F240" s="2" t="s">
        <v>41</v>
      </c>
      <c r="G240" s="2" t="s">
        <v>21</v>
      </c>
      <c r="H240" s="13">
        <v>38.299999999999997</v>
      </c>
      <c r="I240" s="2" t="str">
        <f t="shared" si="20"/>
        <v>Moderate Risk</v>
      </c>
      <c r="J240" s="2">
        <v>85.8</v>
      </c>
      <c r="K240" s="2" t="str">
        <f t="shared" si="23"/>
        <v>High Confidence</v>
      </c>
      <c r="L240" s="2" t="s">
        <v>43</v>
      </c>
      <c r="M240" s="2" t="str">
        <f t="shared" si="21"/>
        <v>Human Content</v>
      </c>
      <c r="N240" s="2">
        <v>0.10199999999999999</v>
      </c>
      <c r="O240" s="2" t="s">
        <v>22</v>
      </c>
      <c r="P240" s="2">
        <v>3083430</v>
      </c>
      <c r="Q240" s="2" t="str">
        <f t="shared" si="24"/>
        <v>Medium</v>
      </c>
      <c r="R240" s="2">
        <v>10041842</v>
      </c>
      <c r="S240" s="2" t="str">
        <f t="shared" si="22"/>
        <v>Highly Viral</v>
      </c>
      <c r="T240" s="2" t="s">
        <v>31</v>
      </c>
      <c r="U240" s="5" t="s">
        <v>32</v>
      </c>
    </row>
    <row r="241" spans="1:21" x14ac:dyDescent="0.3">
      <c r="A241" s="4" t="s">
        <v>301</v>
      </c>
      <c r="B241" s="9">
        <v>45487</v>
      </c>
      <c r="C241" s="4" t="s">
        <v>69</v>
      </c>
      <c r="D241" s="4" t="s">
        <v>50</v>
      </c>
      <c r="E241" s="4" t="s">
        <v>73</v>
      </c>
      <c r="F241" s="4" t="s">
        <v>58</v>
      </c>
      <c r="G241" s="4" t="s">
        <v>29</v>
      </c>
      <c r="H241" s="14">
        <v>0.8</v>
      </c>
      <c r="I241" s="2" t="str">
        <f t="shared" si="20"/>
        <v>Moderate Risk</v>
      </c>
      <c r="J241" s="4">
        <v>81.900000000000006</v>
      </c>
      <c r="K241" s="2" t="str">
        <f t="shared" si="23"/>
        <v>High Confidence</v>
      </c>
      <c r="L241" s="4" t="s">
        <v>22</v>
      </c>
      <c r="M241" s="2" t="str">
        <f t="shared" si="21"/>
        <v>Human Content</v>
      </c>
      <c r="N241" s="4">
        <v>0.44</v>
      </c>
      <c r="O241" s="4" t="s">
        <v>23</v>
      </c>
      <c r="P241" s="4">
        <v>1787338</v>
      </c>
      <c r="Q241" s="2" t="str">
        <f t="shared" si="24"/>
        <v>Medium</v>
      </c>
      <c r="R241" s="4">
        <v>5079772</v>
      </c>
      <c r="S241" s="2" t="str">
        <f t="shared" si="22"/>
        <v>Highly Viral</v>
      </c>
      <c r="T241" s="4" t="s">
        <v>24</v>
      </c>
      <c r="U241" s="3" t="s">
        <v>25</v>
      </c>
    </row>
    <row r="242" spans="1:21" x14ac:dyDescent="0.3">
      <c r="A242" s="2" t="s">
        <v>302</v>
      </c>
      <c r="B242" s="8">
        <v>45607</v>
      </c>
      <c r="C242" s="2" t="s">
        <v>54</v>
      </c>
      <c r="D242" s="2" t="s">
        <v>50</v>
      </c>
      <c r="E242" s="2" t="s">
        <v>73</v>
      </c>
      <c r="F242" s="2" t="s">
        <v>41</v>
      </c>
      <c r="G242" s="2" t="s">
        <v>21</v>
      </c>
      <c r="H242" s="13">
        <v>75.2</v>
      </c>
      <c r="I242" s="2" t="str">
        <f t="shared" si="20"/>
        <v>High Risk</v>
      </c>
      <c r="J242" s="2">
        <v>78.900000000000006</v>
      </c>
      <c r="K242" s="2" t="str">
        <f t="shared" si="23"/>
        <v>High Confidence</v>
      </c>
      <c r="L242" s="2" t="s">
        <v>30</v>
      </c>
      <c r="M242" s="2" t="str">
        <f t="shared" si="21"/>
        <v>AI Generated</v>
      </c>
      <c r="N242" s="2">
        <v>0.38400000000000001</v>
      </c>
      <c r="O242" s="2" t="s">
        <v>22</v>
      </c>
      <c r="P242" s="2">
        <v>2638347</v>
      </c>
      <c r="Q242" s="2" t="str">
        <f t="shared" si="24"/>
        <v>Medium</v>
      </c>
      <c r="R242" s="2">
        <v>4692422</v>
      </c>
      <c r="S242" s="2" t="str">
        <f t="shared" si="22"/>
        <v>Moderately Viral</v>
      </c>
      <c r="T242" s="2" t="s">
        <v>31</v>
      </c>
      <c r="U242" s="6" t="s">
        <v>48</v>
      </c>
    </row>
    <row r="243" spans="1:21" x14ac:dyDescent="0.3">
      <c r="A243" s="4" t="s">
        <v>303</v>
      </c>
      <c r="B243" s="9">
        <v>45433</v>
      </c>
      <c r="C243" s="4" t="s">
        <v>17</v>
      </c>
      <c r="D243" s="4" t="s">
        <v>50</v>
      </c>
      <c r="E243" s="4" t="s">
        <v>19</v>
      </c>
      <c r="F243" s="4" t="s">
        <v>36</v>
      </c>
      <c r="G243" s="4" t="s">
        <v>67</v>
      </c>
      <c r="H243" s="14">
        <v>84.8</v>
      </c>
      <c r="I243" s="2" t="str">
        <f t="shared" si="20"/>
        <v>High Risk</v>
      </c>
      <c r="J243" s="4">
        <v>82.3</v>
      </c>
      <c r="K243" s="2" t="str">
        <f t="shared" si="23"/>
        <v>High Confidence</v>
      </c>
      <c r="L243" s="4" t="s">
        <v>30</v>
      </c>
      <c r="M243" s="2" t="str">
        <f t="shared" si="21"/>
        <v>AI Generated</v>
      </c>
      <c r="N243" s="4">
        <v>0.30199999999999999</v>
      </c>
      <c r="O243" s="4" t="s">
        <v>23</v>
      </c>
      <c r="P243" s="4">
        <v>4274285</v>
      </c>
      <c r="Q243" s="2" t="str">
        <f t="shared" si="24"/>
        <v>High</v>
      </c>
      <c r="R243" s="4">
        <v>6330426</v>
      </c>
      <c r="S243" s="2" t="str">
        <f t="shared" si="22"/>
        <v>Highly Viral</v>
      </c>
      <c r="T243" s="4" t="s">
        <v>24</v>
      </c>
      <c r="U243" s="6" t="s">
        <v>48</v>
      </c>
    </row>
    <row r="244" spans="1:21" x14ac:dyDescent="0.3">
      <c r="A244" s="2" t="s">
        <v>304</v>
      </c>
      <c r="B244" s="8">
        <v>45443</v>
      </c>
      <c r="C244" s="2" t="s">
        <v>27</v>
      </c>
      <c r="D244" s="2" t="s">
        <v>50</v>
      </c>
      <c r="E244" s="2" t="s">
        <v>71</v>
      </c>
      <c r="F244" s="2" t="s">
        <v>76</v>
      </c>
      <c r="G244" s="2" t="s">
        <v>67</v>
      </c>
      <c r="H244" s="13">
        <v>24.1</v>
      </c>
      <c r="I244" s="2" t="str">
        <f t="shared" si="20"/>
        <v>Moderate Risk</v>
      </c>
      <c r="J244" s="2">
        <v>81.3</v>
      </c>
      <c r="K244" s="2" t="str">
        <f t="shared" si="23"/>
        <v>High Confidence</v>
      </c>
      <c r="L244" s="2" t="s">
        <v>22</v>
      </c>
      <c r="M244" s="2" t="str">
        <f t="shared" si="21"/>
        <v>Human Content</v>
      </c>
      <c r="N244" s="2">
        <v>7.0999999999999994E-2</v>
      </c>
      <c r="O244" s="2" t="s">
        <v>30</v>
      </c>
      <c r="P244" s="2">
        <v>3029211</v>
      </c>
      <c r="Q244" s="2" t="str">
        <f t="shared" si="24"/>
        <v>Medium</v>
      </c>
      <c r="R244" s="2">
        <v>10619560</v>
      </c>
      <c r="S244" s="2" t="str">
        <f t="shared" si="22"/>
        <v>Highly Viral</v>
      </c>
      <c r="T244" s="2" t="s">
        <v>31</v>
      </c>
      <c r="U244" s="3" t="s">
        <v>25</v>
      </c>
    </row>
    <row r="245" spans="1:21" x14ac:dyDescent="0.3">
      <c r="A245" s="4" t="s">
        <v>305</v>
      </c>
      <c r="B245" s="9">
        <v>45490</v>
      </c>
      <c r="C245" s="4" t="s">
        <v>78</v>
      </c>
      <c r="D245" s="4" t="s">
        <v>40</v>
      </c>
      <c r="E245" s="4" t="s">
        <v>35</v>
      </c>
      <c r="F245" s="4" t="s">
        <v>76</v>
      </c>
      <c r="G245" s="4" t="s">
        <v>74</v>
      </c>
      <c r="H245" s="14">
        <v>7.3</v>
      </c>
      <c r="I245" s="2" t="str">
        <f t="shared" si="20"/>
        <v>Moderate Risk</v>
      </c>
      <c r="J245" s="4">
        <v>78.8</v>
      </c>
      <c r="K245" s="2" t="str">
        <f t="shared" si="23"/>
        <v>High Confidence</v>
      </c>
      <c r="L245" s="4" t="s">
        <v>22</v>
      </c>
      <c r="M245" s="2" t="str">
        <f t="shared" si="21"/>
        <v>Human Content</v>
      </c>
      <c r="N245" s="4">
        <v>1.4E-2</v>
      </c>
      <c r="O245" s="4" t="s">
        <v>30</v>
      </c>
      <c r="P245" s="4">
        <v>334191</v>
      </c>
      <c r="Q245" s="2" t="str">
        <f t="shared" si="24"/>
        <v>Low</v>
      </c>
      <c r="R245" s="4">
        <v>2029498</v>
      </c>
      <c r="S245" s="2" t="str">
        <f t="shared" si="22"/>
        <v>Moderately Viral</v>
      </c>
      <c r="T245" s="4" t="s">
        <v>24</v>
      </c>
      <c r="U245" s="3" t="s">
        <v>25</v>
      </c>
    </row>
    <row r="246" spans="1:21" x14ac:dyDescent="0.3">
      <c r="A246" s="2" t="s">
        <v>306</v>
      </c>
      <c r="B246" s="8">
        <v>45551</v>
      </c>
      <c r="C246" s="2" t="s">
        <v>34</v>
      </c>
      <c r="D246" s="2" t="s">
        <v>60</v>
      </c>
      <c r="E246" s="2" t="s">
        <v>88</v>
      </c>
      <c r="F246" s="2" t="s">
        <v>76</v>
      </c>
      <c r="G246" s="2" t="s">
        <v>42</v>
      </c>
      <c r="H246" s="13">
        <v>40.200000000000003</v>
      </c>
      <c r="I246" s="2" t="str">
        <f t="shared" si="20"/>
        <v>Moderate Risk</v>
      </c>
      <c r="J246" s="2">
        <v>81.400000000000006</v>
      </c>
      <c r="K246" s="2" t="str">
        <f t="shared" si="23"/>
        <v>High Confidence</v>
      </c>
      <c r="L246" s="2" t="s">
        <v>43</v>
      </c>
      <c r="M246" s="2" t="str">
        <f t="shared" si="21"/>
        <v>Human Content</v>
      </c>
      <c r="N246" s="2">
        <v>0.53800000000000003</v>
      </c>
      <c r="O246" s="2" t="s">
        <v>30</v>
      </c>
      <c r="P246" s="2">
        <v>2327668</v>
      </c>
      <c r="Q246" s="2" t="str">
        <f t="shared" si="24"/>
        <v>Medium</v>
      </c>
      <c r="R246" s="2">
        <v>2805552</v>
      </c>
      <c r="S246" s="2" t="str">
        <f t="shared" si="22"/>
        <v>Moderately Viral</v>
      </c>
      <c r="T246" s="2" t="s">
        <v>56</v>
      </c>
      <c r="U246" s="5" t="s">
        <v>32</v>
      </c>
    </row>
    <row r="247" spans="1:21" x14ac:dyDescent="0.3">
      <c r="A247" s="4" t="s">
        <v>307</v>
      </c>
      <c r="B247" s="9">
        <v>45332</v>
      </c>
      <c r="C247" s="4" t="s">
        <v>46</v>
      </c>
      <c r="D247" s="4" t="s">
        <v>50</v>
      </c>
      <c r="E247" s="4" t="s">
        <v>51</v>
      </c>
      <c r="F247" s="4" t="s">
        <v>76</v>
      </c>
      <c r="G247" s="4" t="s">
        <v>29</v>
      </c>
      <c r="H247" s="14">
        <v>63.4</v>
      </c>
      <c r="I247" s="2" t="str">
        <f t="shared" si="20"/>
        <v>High Risk</v>
      </c>
      <c r="J247" s="4">
        <v>90.9</v>
      </c>
      <c r="K247" s="2" t="str">
        <f t="shared" si="23"/>
        <v>High Confidence</v>
      </c>
      <c r="L247" s="4" t="s">
        <v>30</v>
      </c>
      <c r="M247" s="2" t="str">
        <f t="shared" si="21"/>
        <v>AI Generated</v>
      </c>
      <c r="N247" s="4">
        <v>0.68100000000000005</v>
      </c>
      <c r="O247" s="4" t="s">
        <v>30</v>
      </c>
      <c r="P247" s="4">
        <v>2601990</v>
      </c>
      <c r="Q247" s="2" t="str">
        <f t="shared" si="24"/>
        <v>Medium</v>
      </c>
      <c r="R247" s="4">
        <v>14680095</v>
      </c>
      <c r="S247" s="2" t="str">
        <f t="shared" si="22"/>
        <v>Highly Viral</v>
      </c>
      <c r="T247" s="4" t="s">
        <v>31</v>
      </c>
      <c r="U247" s="5" t="s">
        <v>32</v>
      </c>
    </row>
    <row r="248" spans="1:21" x14ac:dyDescent="0.3">
      <c r="A248" s="2" t="s">
        <v>308</v>
      </c>
      <c r="B248" s="8">
        <v>45321</v>
      </c>
      <c r="C248" s="2" t="s">
        <v>46</v>
      </c>
      <c r="D248" s="2" t="s">
        <v>18</v>
      </c>
      <c r="E248" s="2" t="s">
        <v>88</v>
      </c>
      <c r="F248" s="2" t="s">
        <v>41</v>
      </c>
      <c r="G248" s="2" t="s">
        <v>37</v>
      </c>
      <c r="H248" s="13">
        <v>61.2</v>
      </c>
      <c r="I248" s="2" t="str">
        <f t="shared" si="20"/>
        <v>High Risk</v>
      </c>
      <c r="J248" s="2">
        <v>52.7</v>
      </c>
      <c r="K248" s="2" t="str">
        <f t="shared" si="23"/>
        <v>Moderate Confidence</v>
      </c>
      <c r="L248" s="2" t="s">
        <v>30</v>
      </c>
      <c r="M248" s="2" t="str">
        <f t="shared" si="21"/>
        <v>AI Generated</v>
      </c>
      <c r="N248" s="2">
        <v>0.66600000000000004</v>
      </c>
      <c r="O248" s="2" t="s">
        <v>23</v>
      </c>
      <c r="P248" s="2">
        <v>1473524</v>
      </c>
      <c r="Q248" s="2" t="str">
        <f t="shared" si="24"/>
        <v>Medium</v>
      </c>
      <c r="R248" s="2">
        <v>4008342</v>
      </c>
      <c r="S248" s="2" t="str">
        <f t="shared" si="22"/>
        <v>Moderately Viral</v>
      </c>
      <c r="T248" s="2" t="s">
        <v>61</v>
      </c>
      <c r="U248" s="5" t="s">
        <v>32</v>
      </c>
    </row>
    <row r="249" spans="1:21" x14ac:dyDescent="0.3">
      <c r="A249" s="4" t="s">
        <v>309</v>
      </c>
      <c r="B249" s="9">
        <v>45654</v>
      </c>
      <c r="C249" s="4" t="s">
        <v>69</v>
      </c>
      <c r="D249" s="4" t="s">
        <v>18</v>
      </c>
      <c r="E249" s="4" t="s">
        <v>35</v>
      </c>
      <c r="F249" s="4" t="s">
        <v>76</v>
      </c>
      <c r="G249" s="4" t="s">
        <v>64</v>
      </c>
      <c r="H249" s="14">
        <v>52.3</v>
      </c>
      <c r="I249" s="2" t="str">
        <f t="shared" si="20"/>
        <v>Moderate Risk</v>
      </c>
      <c r="J249" s="4">
        <v>88.4</v>
      </c>
      <c r="K249" s="2" t="str">
        <f t="shared" si="23"/>
        <v>High Confidence</v>
      </c>
      <c r="L249" s="4" t="s">
        <v>43</v>
      </c>
      <c r="M249" s="2" t="str">
        <f t="shared" si="21"/>
        <v>Human Content</v>
      </c>
      <c r="N249" s="4">
        <v>0.72099999999999997</v>
      </c>
      <c r="O249" s="4" t="s">
        <v>30</v>
      </c>
      <c r="P249" s="4">
        <v>3119566</v>
      </c>
      <c r="Q249" s="2" t="str">
        <f t="shared" si="24"/>
        <v>Medium</v>
      </c>
      <c r="R249" s="4">
        <v>4259584</v>
      </c>
      <c r="S249" s="2" t="str">
        <f t="shared" si="22"/>
        <v>Moderately Viral</v>
      </c>
      <c r="T249" s="4" t="s">
        <v>56</v>
      </c>
      <c r="U249" s="5" t="s">
        <v>32</v>
      </c>
    </row>
    <row r="250" spans="1:21" x14ac:dyDescent="0.3">
      <c r="A250" s="2" t="s">
        <v>310</v>
      </c>
      <c r="B250" s="8">
        <v>45352</v>
      </c>
      <c r="C250" s="2" t="s">
        <v>27</v>
      </c>
      <c r="D250" s="2" t="s">
        <v>40</v>
      </c>
      <c r="E250" s="2" t="s">
        <v>88</v>
      </c>
      <c r="F250" s="2" t="s">
        <v>52</v>
      </c>
      <c r="G250" s="2" t="s">
        <v>29</v>
      </c>
      <c r="H250" s="13">
        <v>6.4</v>
      </c>
      <c r="I250" s="2" t="str">
        <f t="shared" si="20"/>
        <v>Moderate Risk</v>
      </c>
      <c r="J250" s="2">
        <v>84.9</v>
      </c>
      <c r="K250" s="2" t="str">
        <f t="shared" si="23"/>
        <v>High Confidence</v>
      </c>
      <c r="L250" s="2" t="s">
        <v>22</v>
      </c>
      <c r="M250" s="2" t="str">
        <f t="shared" si="21"/>
        <v>Human Content</v>
      </c>
      <c r="N250" s="2">
        <v>0.57699999999999996</v>
      </c>
      <c r="O250" s="2" t="s">
        <v>30</v>
      </c>
      <c r="P250" s="2">
        <v>4162087</v>
      </c>
      <c r="Q250" s="2" t="str">
        <f t="shared" si="24"/>
        <v>High</v>
      </c>
      <c r="R250" s="2">
        <v>15274402</v>
      </c>
      <c r="S250" s="2" t="str">
        <f t="shared" si="22"/>
        <v>Highly Viral</v>
      </c>
      <c r="T250" s="2" t="s">
        <v>44</v>
      </c>
      <c r="U250" s="3" t="s">
        <v>25</v>
      </c>
    </row>
    <row r="251" spans="1:21" x14ac:dyDescent="0.3">
      <c r="A251" s="4" t="s">
        <v>311</v>
      </c>
      <c r="B251" s="9">
        <v>45476</v>
      </c>
      <c r="C251" s="4" t="s">
        <v>27</v>
      </c>
      <c r="D251" s="4" t="s">
        <v>55</v>
      </c>
      <c r="E251" s="4" t="s">
        <v>35</v>
      </c>
      <c r="F251" s="4" t="s">
        <v>52</v>
      </c>
      <c r="G251" s="4" t="s">
        <v>21</v>
      </c>
      <c r="H251" s="14">
        <v>25.5</v>
      </c>
      <c r="I251" s="2" t="str">
        <f t="shared" si="20"/>
        <v>Moderate Risk</v>
      </c>
      <c r="J251" s="4">
        <v>55</v>
      </c>
      <c r="K251" s="2" t="str">
        <f t="shared" si="23"/>
        <v>Moderate Confidence</v>
      </c>
      <c r="L251" s="4" t="s">
        <v>22</v>
      </c>
      <c r="M251" s="2" t="str">
        <f t="shared" si="21"/>
        <v>Human Content</v>
      </c>
      <c r="N251" s="4">
        <v>0.57399999999999995</v>
      </c>
      <c r="O251" s="4" t="s">
        <v>23</v>
      </c>
      <c r="P251" s="4">
        <v>967588</v>
      </c>
      <c r="Q251" s="2" t="str">
        <f t="shared" si="24"/>
        <v>Low</v>
      </c>
      <c r="R251" s="4">
        <v>7664480</v>
      </c>
      <c r="S251" s="2" t="str">
        <f t="shared" si="22"/>
        <v>Highly Viral</v>
      </c>
      <c r="T251" s="4" t="s">
        <v>44</v>
      </c>
      <c r="U251" s="3" t="s">
        <v>25</v>
      </c>
    </row>
    <row r="252" spans="1:21" x14ac:dyDescent="0.3">
      <c r="A252" s="2" t="s">
        <v>312</v>
      </c>
      <c r="B252" s="8">
        <v>45293</v>
      </c>
      <c r="C252" s="2" t="s">
        <v>27</v>
      </c>
      <c r="D252" s="2" t="s">
        <v>18</v>
      </c>
      <c r="E252" s="2" t="s">
        <v>28</v>
      </c>
      <c r="F252" s="2" t="s">
        <v>41</v>
      </c>
      <c r="G252" s="2" t="s">
        <v>37</v>
      </c>
      <c r="H252" s="13">
        <v>36.4</v>
      </c>
      <c r="I252" s="2" t="str">
        <f t="shared" si="20"/>
        <v>Moderate Risk</v>
      </c>
      <c r="J252" s="2">
        <v>95.1</v>
      </c>
      <c r="K252" s="2" t="str">
        <f t="shared" si="23"/>
        <v>High Confidence</v>
      </c>
      <c r="L252" s="2" t="s">
        <v>43</v>
      </c>
      <c r="M252" s="2" t="str">
        <f t="shared" si="21"/>
        <v>Human Content</v>
      </c>
      <c r="N252" s="2">
        <v>0.17899999999999999</v>
      </c>
      <c r="O252" s="2" t="s">
        <v>30</v>
      </c>
      <c r="P252" s="2">
        <v>4637865</v>
      </c>
      <c r="Q252" s="2" t="str">
        <f t="shared" si="24"/>
        <v>High</v>
      </c>
      <c r="R252" s="2">
        <v>14072198</v>
      </c>
      <c r="S252" s="2" t="str">
        <f t="shared" si="22"/>
        <v>Highly Viral</v>
      </c>
      <c r="T252" s="2" t="s">
        <v>31</v>
      </c>
      <c r="U252" s="5" t="s">
        <v>32</v>
      </c>
    </row>
    <row r="253" spans="1:21" x14ac:dyDescent="0.3">
      <c r="A253" s="4" t="s">
        <v>313</v>
      </c>
      <c r="B253" s="9">
        <v>45456</v>
      </c>
      <c r="C253" s="4" t="s">
        <v>46</v>
      </c>
      <c r="D253" s="4" t="s">
        <v>55</v>
      </c>
      <c r="E253" s="4" t="s">
        <v>51</v>
      </c>
      <c r="F253" s="4" t="s">
        <v>52</v>
      </c>
      <c r="G253" s="4" t="s">
        <v>74</v>
      </c>
      <c r="H253" s="14">
        <v>7.8</v>
      </c>
      <c r="I253" s="2" t="str">
        <f t="shared" si="20"/>
        <v>Moderate Risk</v>
      </c>
      <c r="J253" s="4">
        <v>68.3</v>
      </c>
      <c r="K253" s="2" t="str">
        <f t="shared" si="23"/>
        <v>Moderate Confidence</v>
      </c>
      <c r="L253" s="4" t="s">
        <v>22</v>
      </c>
      <c r="M253" s="2" t="str">
        <f t="shared" si="21"/>
        <v>Human Content</v>
      </c>
      <c r="N253" s="4">
        <v>0.502</v>
      </c>
      <c r="O253" s="4" t="s">
        <v>30</v>
      </c>
      <c r="P253" s="4">
        <v>1504549</v>
      </c>
      <c r="Q253" s="2" t="str">
        <f t="shared" si="24"/>
        <v>Medium</v>
      </c>
      <c r="R253" s="4">
        <v>7489347</v>
      </c>
      <c r="S253" s="2" t="str">
        <f t="shared" si="22"/>
        <v>Highly Viral</v>
      </c>
      <c r="T253" s="4" t="s">
        <v>44</v>
      </c>
      <c r="U253" s="3" t="s">
        <v>25</v>
      </c>
    </row>
    <row r="254" spans="1:21" x14ac:dyDescent="0.3">
      <c r="A254" s="2" t="s">
        <v>314</v>
      </c>
      <c r="B254" s="8">
        <v>45315</v>
      </c>
      <c r="C254" s="2" t="s">
        <v>78</v>
      </c>
      <c r="D254" s="2" t="s">
        <v>18</v>
      </c>
      <c r="E254" s="2" t="s">
        <v>71</v>
      </c>
      <c r="F254" s="2" t="s">
        <v>52</v>
      </c>
      <c r="G254" s="2" t="s">
        <v>74</v>
      </c>
      <c r="H254" s="13">
        <v>84.5</v>
      </c>
      <c r="I254" s="2" t="str">
        <f t="shared" si="20"/>
        <v>High Risk</v>
      </c>
      <c r="J254" s="2">
        <v>66</v>
      </c>
      <c r="K254" s="2" t="str">
        <f t="shared" si="23"/>
        <v>Moderate Confidence</v>
      </c>
      <c r="L254" s="2" t="s">
        <v>30</v>
      </c>
      <c r="M254" s="2" t="str">
        <f t="shared" si="21"/>
        <v>AI Generated</v>
      </c>
      <c r="N254" s="2">
        <v>0.55300000000000005</v>
      </c>
      <c r="O254" s="2" t="s">
        <v>30</v>
      </c>
      <c r="P254" s="2">
        <v>3094819</v>
      </c>
      <c r="Q254" s="2" t="str">
        <f t="shared" si="24"/>
        <v>Medium</v>
      </c>
      <c r="R254" s="2">
        <v>6733906</v>
      </c>
      <c r="S254" s="2" t="str">
        <f t="shared" si="22"/>
        <v>Highly Viral</v>
      </c>
      <c r="T254" s="2" t="s">
        <v>56</v>
      </c>
      <c r="U254" s="6" t="s">
        <v>48</v>
      </c>
    </row>
    <row r="255" spans="1:21" x14ac:dyDescent="0.3">
      <c r="A255" s="4" t="s">
        <v>315</v>
      </c>
      <c r="B255" s="9">
        <v>45580</v>
      </c>
      <c r="C255" s="4" t="s">
        <v>34</v>
      </c>
      <c r="D255" s="4" t="s">
        <v>60</v>
      </c>
      <c r="E255" s="4" t="s">
        <v>28</v>
      </c>
      <c r="F255" s="4" t="s">
        <v>76</v>
      </c>
      <c r="G255" s="4" t="s">
        <v>64</v>
      </c>
      <c r="H255" s="14">
        <v>59.2</v>
      </c>
      <c r="I255" s="2" t="str">
        <f t="shared" si="20"/>
        <v>Moderate Risk</v>
      </c>
      <c r="J255" s="4">
        <v>74.2</v>
      </c>
      <c r="K255" s="2" t="str">
        <f t="shared" si="23"/>
        <v>High Confidence</v>
      </c>
      <c r="L255" s="4" t="s">
        <v>43</v>
      </c>
      <c r="M255" s="2" t="str">
        <f t="shared" si="21"/>
        <v>Human Content</v>
      </c>
      <c r="N255" s="4">
        <v>0.77300000000000002</v>
      </c>
      <c r="O255" s="4" t="s">
        <v>30</v>
      </c>
      <c r="P255" s="4">
        <v>4584971</v>
      </c>
      <c r="Q255" s="2" t="str">
        <f t="shared" si="24"/>
        <v>High</v>
      </c>
      <c r="R255" s="4">
        <v>8225593</v>
      </c>
      <c r="S255" s="2" t="str">
        <f t="shared" si="22"/>
        <v>Highly Viral</v>
      </c>
      <c r="T255" s="4" t="s">
        <v>31</v>
      </c>
      <c r="U255" s="5" t="s">
        <v>32</v>
      </c>
    </row>
    <row r="256" spans="1:21" x14ac:dyDescent="0.3">
      <c r="A256" s="2" t="s">
        <v>316</v>
      </c>
      <c r="B256" s="8">
        <v>45295</v>
      </c>
      <c r="C256" s="2" t="s">
        <v>78</v>
      </c>
      <c r="D256" s="2" t="s">
        <v>18</v>
      </c>
      <c r="E256" s="2" t="s">
        <v>28</v>
      </c>
      <c r="F256" s="2" t="s">
        <v>58</v>
      </c>
      <c r="G256" s="2" t="s">
        <v>64</v>
      </c>
      <c r="H256" s="13">
        <v>63.6</v>
      </c>
      <c r="I256" s="2" t="str">
        <f t="shared" si="20"/>
        <v>High Risk</v>
      </c>
      <c r="J256" s="2">
        <v>84</v>
      </c>
      <c r="K256" s="2" t="str">
        <f t="shared" si="23"/>
        <v>High Confidence</v>
      </c>
      <c r="L256" s="2" t="s">
        <v>30</v>
      </c>
      <c r="M256" s="2" t="str">
        <f t="shared" si="21"/>
        <v>AI Generated</v>
      </c>
      <c r="N256" s="2">
        <v>0.01</v>
      </c>
      <c r="O256" s="2" t="s">
        <v>22</v>
      </c>
      <c r="P256" s="2">
        <v>12364</v>
      </c>
      <c r="Q256" s="2" t="str">
        <f t="shared" si="24"/>
        <v>Low</v>
      </c>
      <c r="R256" s="2">
        <v>12626188</v>
      </c>
      <c r="S256" s="2" t="str">
        <f t="shared" si="22"/>
        <v>Highly Viral</v>
      </c>
      <c r="T256" s="2" t="s">
        <v>56</v>
      </c>
      <c r="U256" s="5" t="s">
        <v>32</v>
      </c>
    </row>
    <row r="257" spans="1:21" x14ac:dyDescent="0.3">
      <c r="A257" s="4" t="s">
        <v>317</v>
      </c>
      <c r="B257" s="9">
        <v>45345</v>
      </c>
      <c r="C257" s="4" t="s">
        <v>46</v>
      </c>
      <c r="D257" s="4" t="s">
        <v>60</v>
      </c>
      <c r="E257" s="4" t="s">
        <v>28</v>
      </c>
      <c r="F257" s="4" t="s">
        <v>76</v>
      </c>
      <c r="G257" s="4" t="s">
        <v>37</v>
      </c>
      <c r="H257" s="14">
        <v>96.1</v>
      </c>
      <c r="I257" s="2" t="str">
        <f t="shared" si="20"/>
        <v>High Risk</v>
      </c>
      <c r="J257" s="4">
        <v>97.7</v>
      </c>
      <c r="K257" s="2" t="str">
        <f t="shared" si="23"/>
        <v>High Confidence</v>
      </c>
      <c r="L257" s="4" t="s">
        <v>30</v>
      </c>
      <c r="M257" s="2" t="str">
        <f t="shared" si="21"/>
        <v>AI Generated</v>
      </c>
      <c r="N257" s="4">
        <v>0.14199999999999999</v>
      </c>
      <c r="O257" s="4" t="s">
        <v>22</v>
      </c>
      <c r="P257" s="4">
        <v>780464</v>
      </c>
      <c r="Q257" s="2" t="str">
        <f t="shared" si="24"/>
        <v>Low</v>
      </c>
      <c r="R257" s="4">
        <v>1473548</v>
      </c>
      <c r="S257" s="2" t="str">
        <f t="shared" si="22"/>
        <v>Moderately Viral</v>
      </c>
      <c r="T257" s="4" t="s">
        <v>31</v>
      </c>
      <c r="U257" s="6" t="s">
        <v>48</v>
      </c>
    </row>
    <row r="258" spans="1:21" x14ac:dyDescent="0.3">
      <c r="A258" s="2" t="s">
        <v>318</v>
      </c>
      <c r="B258" s="8">
        <v>45558</v>
      </c>
      <c r="C258" s="2" t="s">
        <v>78</v>
      </c>
      <c r="D258" s="2" t="s">
        <v>40</v>
      </c>
      <c r="E258" s="2" t="s">
        <v>71</v>
      </c>
      <c r="F258" s="2" t="s">
        <v>36</v>
      </c>
      <c r="G258" s="2" t="s">
        <v>67</v>
      </c>
      <c r="H258" s="13">
        <v>58.1</v>
      </c>
      <c r="I258" s="2" t="str">
        <f t="shared" si="20"/>
        <v>Moderate Risk</v>
      </c>
      <c r="J258" s="2">
        <v>74.8</v>
      </c>
      <c r="K258" s="2" t="str">
        <f t="shared" si="23"/>
        <v>High Confidence</v>
      </c>
      <c r="L258" s="2" t="s">
        <v>43</v>
      </c>
      <c r="M258" s="2" t="str">
        <f t="shared" si="21"/>
        <v>Human Content</v>
      </c>
      <c r="N258" s="2">
        <v>0.63700000000000001</v>
      </c>
      <c r="O258" s="2" t="s">
        <v>22</v>
      </c>
      <c r="P258" s="2">
        <v>627823</v>
      </c>
      <c r="Q258" s="2" t="str">
        <f t="shared" si="24"/>
        <v>Low</v>
      </c>
      <c r="R258" s="2">
        <v>19861226</v>
      </c>
      <c r="S258" s="2" t="str">
        <f t="shared" si="22"/>
        <v>Highly Viral</v>
      </c>
      <c r="T258" s="2" t="s">
        <v>44</v>
      </c>
      <c r="U258" s="5" t="s">
        <v>32</v>
      </c>
    </row>
    <row r="259" spans="1:21" x14ac:dyDescent="0.3">
      <c r="A259" s="4" t="s">
        <v>319</v>
      </c>
      <c r="B259" s="9">
        <v>45323</v>
      </c>
      <c r="C259" s="4" t="s">
        <v>78</v>
      </c>
      <c r="D259" s="4" t="s">
        <v>50</v>
      </c>
      <c r="E259" s="4" t="s">
        <v>28</v>
      </c>
      <c r="F259" s="4" t="s">
        <v>52</v>
      </c>
      <c r="G259" s="4" t="s">
        <v>64</v>
      </c>
      <c r="H259" s="14">
        <v>85.1</v>
      </c>
      <c r="I259" s="2" t="str">
        <f t="shared" ref="I259:I322" si="25">IF(H259&gt;60,"High Risk",IF(H259&lt;60,"Moderate Risk"))</f>
        <v>High Risk</v>
      </c>
      <c r="J259" s="4">
        <v>95.4</v>
      </c>
      <c r="K259" s="2" t="str">
        <f t="shared" si="23"/>
        <v>High Confidence</v>
      </c>
      <c r="L259" s="4" t="s">
        <v>30</v>
      </c>
      <c r="M259" s="2" t="str">
        <f t="shared" ref="M259:M322" si="26">IF(L259="Yes","AI Generated","Human Content")</f>
        <v>AI Generated</v>
      </c>
      <c r="N259" s="4">
        <v>0.39300000000000002</v>
      </c>
      <c r="O259" s="4" t="s">
        <v>23</v>
      </c>
      <c r="P259" s="4">
        <v>2736896</v>
      </c>
      <c r="Q259" s="2" t="str">
        <f t="shared" si="24"/>
        <v>Medium</v>
      </c>
      <c r="R259" s="4">
        <v>10672746</v>
      </c>
      <c r="S259" s="2" t="str">
        <f t="shared" si="22"/>
        <v>Highly Viral</v>
      </c>
      <c r="T259" s="4" t="s">
        <v>24</v>
      </c>
      <c r="U259" s="6" t="s">
        <v>48</v>
      </c>
    </row>
    <row r="260" spans="1:21" x14ac:dyDescent="0.3">
      <c r="A260" s="2" t="s">
        <v>320</v>
      </c>
      <c r="B260" s="8">
        <v>45431</v>
      </c>
      <c r="C260" s="2" t="s">
        <v>46</v>
      </c>
      <c r="D260" s="2" t="s">
        <v>18</v>
      </c>
      <c r="E260" s="2" t="s">
        <v>28</v>
      </c>
      <c r="F260" s="2" t="s">
        <v>20</v>
      </c>
      <c r="G260" s="2" t="s">
        <v>74</v>
      </c>
      <c r="H260" s="13">
        <v>77</v>
      </c>
      <c r="I260" s="2" t="str">
        <f t="shared" si="25"/>
        <v>High Risk</v>
      </c>
      <c r="J260" s="2">
        <v>55.3</v>
      </c>
      <c r="K260" s="2" t="str">
        <f t="shared" si="23"/>
        <v>Moderate Confidence</v>
      </c>
      <c r="L260" s="2" t="s">
        <v>30</v>
      </c>
      <c r="M260" s="2" t="str">
        <f t="shared" si="26"/>
        <v>AI Generated</v>
      </c>
      <c r="N260" s="2">
        <v>0.106</v>
      </c>
      <c r="O260" s="2" t="s">
        <v>22</v>
      </c>
      <c r="P260" s="2">
        <v>3909653</v>
      </c>
      <c r="Q260" s="2" t="str">
        <f t="shared" si="24"/>
        <v>Medium</v>
      </c>
      <c r="R260" s="2">
        <v>10537708</v>
      </c>
      <c r="S260" s="2" t="str">
        <f t="shared" si="22"/>
        <v>Highly Viral</v>
      </c>
      <c r="T260" s="2" t="s">
        <v>24</v>
      </c>
      <c r="U260" s="6" t="s">
        <v>48</v>
      </c>
    </row>
    <row r="261" spans="1:21" x14ac:dyDescent="0.3">
      <c r="A261" s="4" t="s">
        <v>321</v>
      </c>
      <c r="B261" s="9">
        <v>45353</v>
      </c>
      <c r="C261" s="4" t="s">
        <v>39</v>
      </c>
      <c r="D261" s="4" t="s">
        <v>50</v>
      </c>
      <c r="E261" s="4" t="s">
        <v>71</v>
      </c>
      <c r="F261" s="4" t="s">
        <v>52</v>
      </c>
      <c r="G261" s="4" t="s">
        <v>37</v>
      </c>
      <c r="H261" s="14">
        <v>26.5</v>
      </c>
      <c r="I261" s="2" t="str">
        <f t="shared" si="25"/>
        <v>Moderate Risk</v>
      </c>
      <c r="J261" s="4">
        <v>55.9</v>
      </c>
      <c r="K261" s="2" t="str">
        <f t="shared" si="23"/>
        <v>Moderate Confidence</v>
      </c>
      <c r="L261" s="4" t="s">
        <v>22</v>
      </c>
      <c r="M261" s="2" t="str">
        <f t="shared" si="26"/>
        <v>Human Content</v>
      </c>
      <c r="N261" s="4">
        <v>0.158</v>
      </c>
      <c r="O261" s="4" t="s">
        <v>23</v>
      </c>
      <c r="P261" s="4">
        <v>2552040</v>
      </c>
      <c r="Q261" s="2" t="str">
        <f t="shared" si="24"/>
        <v>Medium</v>
      </c>
      <c r="R261" s="4">
        <v>1353743</v>
      </c>
      <c r="S261" s="2" t="str">
        <f t="shared" ref="S261:S324" si="27">IF(R261&gt;5000000,"Highly Viral",IF(R261&gt;1000000,"Moderately Viral",IF(R261&lt;500000,"Low Viral")))</f>
        <v>Moderately Viral</v>
      </c>
      <c r="T261" s="4" t="s">
        <v>31</v>
      </c>
      <c r="U261" s="3" t="s">
        <v>25</v>
      </c>
    </row>
    <row r="262" spans="1:21" x14ac:dyDescent="0.3">
      <c r="A262" s="2" t="s">
        <v>322</v>
      </c>
      <c r="B262" s="8">
        <v>45459</v>
      </c>
      <c r="C262" s="2" t="s">
        <v>69</v>
      </c>
      <c r="D262" s="2" t="s">
        <v>18</v>
      </c>
      <c r="E262" s="2" t="s">
        <v>28</v>
      </c>
      <c r="F262" s="2" t="s">
        <v>52</v>
      </c>
      <c r="G262" s="2" t="s">
        <v>37</v>
      </c>
      <c r="H262" s="13">
        <v>51.3</v>
      </c>
      <c r="I262" s="2" t="str">
        <f t="shared" si="25"/>
        <v>Moderate Risk</v>
      </c>
      <c r="J262" s="2">
        <v>83.2</v>
      </c>
      <c r="K262" s="2" t="str">
        <f t="shared" si="23"/>
        <v>High Confidence</v>
      </c>
      <c r="L262" s="2" t="s">
        <v>43</v>
      </c>
      <c r="M262" s="2" t="str">
        <f t="shared" si="26"/>
        <v>Human Content</v>
      </c>
      <c r="N262" s="2">
        <v>0.26</v>
      </c>
      <c r="O262" s="2" t="s">
        <v>30</v>
      </c>
      <c r="P262" s="2">
        <v>260835</v>
      </c>
      <c r="Q262" s="2" t="str">
        <f t="shared" si="24"/>
        <v>Low</v>
      </c>
      <c r="R262" s="2">
        <v>13569651</v>
      </c>
      <c r="S262" s="2" t="str">
        <f t="shared" si="27"/>
        <v>Highly Viral</v>
      </c>
      <c r="T262" s="2" t="s">
        <v>24</v>
      </c>
      <c r="U262" s="5" t="s">
        <v>32</v>
      </c>
    </row>
    <row r="263" spans="1:21" x14ac:dyDescent="0.3">
      <c r="A263" s="4" t="s">
        <v>323</v>
      </c>
      <c r="B263" s="9">
        <v>45576</v>
      </c>
      <c r="C263" s="4" t="s">
        <v>46</v>
      </c>
      <c r="D263" s="4" t="s">
        <v>18</v>
      </c>
      <c r="E263" s="4" t="s">
        <v>71</v>
      </c>
      <c r="F263" s="4" t="s">
        <v>41</v>
      </c>
      <c r="G263" s="4" t="s">
        <v>74</v>
      </c>
      <c r="H263" s="14">
        <v>79.400000000000006</v>
      </c>
      <c r="I263" s="2" t="str">
        <f t="shared" si="25"/>
        <v>High Risk</v>
      </c>
      <c r="J263" s="4">
        <v>56</v>
      </c>
      <c r="K263" s="2" t="str">
        <f t="shared" si="23"/>
        <v>Moderate Confidence</v>
      </c>
      <c r="L263" s="4" t="s">
        <v>30</v>
      </c>
      <c r="M263" s="2" t="str">
        <f t="shared" si="26"/>
        <v>AI Generated</v>
      </c>
      <c r="N263" s="4">
        <v>6.2E-2</v>
      </c>
      <c r="O263" s="4" t="s">
        <v>30</v>
      </c>
      <c r="P263" s="4">
        <v>1096618</v>
      </c>
      <c r="Q263" s="2" t="str">
        <f t="shared" si="24"/>
        <v>Medium</v>
      </c>
      <c r="R263" s="4">
        <v>6648741</v>
      </c>
      <c r="S263" s="2" t="str">
        <f t="shared" si="27"/>
        <v>Highly Viral</v>
      </c>
      <c r="T263" s="4" t="s">
        <v>24</v>
      </c>
      <c r="U263" s="6" t="s">
        <v>48</v>
      </c>
    </row>
    <row r="264" spans="1:21" x14ac:dyDescent="0.3">
      <c r="A264" s="2" t="s">
        <v>324</v>
      </c>
      <c r="B264" s="8">
        <v>45482</v>
      </c>
      <c r="C264" s="2" t="s">
        <v>17</v>
      </c>
      <c r="D264" s="2" t="s">
        <v>60</v>
      </c>
      <c r="E264" s="2" t="s">
        <v>19</v>
      </c>
      <c r="F264" s="2" t="s">
        <v>41</v>
      </c>
      <c r="G264" s="2" t="s">
        <v>67</v>
      </c>
      <c r="H264" s="13">
        <v>99.7</v>
      </c>
      <c r="I264" s="2" t="str">
        <f t="shared" si="25"/>
        <v>High Risk</v>
      </c>
      <c r="J264" s="2">
        <v>59.7</v>
      </c>
      <c r="K264" s="2" t="str">
        <f t="shared" si="23"/>
        <v>Moderate Confidence</v>
      </c>
      <c r="L264" s="2" t="s">
        <v>30</v>
      </c>
      <c r="M264" s="2" t="str">
        <f t="shared" si="26"/>
        <v>AI Generated</v>
      </c>
      <c r="N264" s="2">
        <v>0.64600000000000002</v>
      </c>
      <c r="O264" s="2" t="s">
        <v>30</v>
      </c>
      <c r="P264" s="2">
        <v>771672</v>
      </c>
      <c r="Q264" s="2" t="str">
        <f t="shared" si="24"/>
        <v>Low</v>
      </c>
      <c r="R264" s="2">
        <v>11125468</v>
      </c>
      <c r="S264" s="2" t="str">
        <f t="shared" si="27"/>
        <v>Highly Viral</v>
      </c>
      <c r="T264" s="2" t="s">
        <v>61</v>
      </c>
      <c r="U264" s="6" t="s">
        <v>48</v>
      </c>
    </row>
    <row r="265" spans="1:21" x14ac:dyDescent="0.3">
      <c r="A265" s="4" t="s">
        <v>325</v>
      </c>
      <c r="B265" s="9">
        <v>45313</v>
      </c>
      <c r="C265" s="4" t="s">
        <v>54</v>
      </c>
      <c r="D265" s="4" t="s">
        <v>18</v>
      </c>
      <c r="E265" s="4" t="s">
        <v>35</v>
      </c>
      <c r="F265" s="4" t="s">
        <v>58</v>
      </c>
      <c r="G265" s="4" t="s">
        <v>37</v>
      </c>
      <c r="H265" s="14">
        <v>82.2</v>
      </c>
      <c r="I265" s="2" t="str">
        <f t="shared" si="25"/>
        <v>High Risk</v>
      </c>
      <c r="J265" s="4">
        <v>69.400000000000006</v>
      </c>
      <c r="K265" s="2" t="str">
        <f t="shared" si="23"/>
        <v>Moderate Confidence</v>
      </c>
      <c r="L265" s="4" t="s">
        <v>30</v>
      </c>
      <c r="M265" s="2" t="str">
        <f t="shared" si="26"/>
        <v>AI Generated</v>
      </c>
      <c r="N265" s="4">
        <v>2.9000000000000001E-2</v>
      </c>
      <c r="O265" s="4" t="s">
        <v>23</v>
      </c>
      <c r="P265" s="4">
        <v>3579217</v>
      </c>
      <c r="Q265" s="2" t="str">
        <f t="shared" si="24"/>
        <v>Medium</v>
      </c>
      <c r="R265" s="4">
        <v>5798947</v>
      </c>
      <c r="S265" s="2" t="str">
        <f t="shared" si="27"/>
        <v>Highly Viral</v>
      </c>
      <c r="T265" s="4" t="s">
        <v>56</v>
      </c>
      <c r="U265" s="6" t="s">
        <v>48</v>
      </c>
    </row>
    <row r="266" spans="1:21" x14ac:dyDescent="0.3">
      <c r="A266" s="2" t="s">
        <v>326</v>
      </c>
      <c r="B266" s="8">
        <v>45401</v>
      </c>
      <c r="C266" s="2" t="s">
        <v>69</v>
      </c>
      <c r="D266" s="2" t="s">
        <v>40</v>
      </c>
      <c r="E266" s="2" t="s">
        <v>19</v>
      </c>
      <c r="F266" s="2" t="s">
        <v>76</v>
      </c>
      <c r="G266" s="2" t="s">
        <v>21</v>
      </c>
      <c r="H266" s="13">
        <v>3.5</v>
      </c>
      <c r="I266" s="2" t="str">
        <f t="shared" si="25"/>
        <v>Moderate Risk</v>
      </c>
      <c r="J266" s="2">
        <v>80.3</v>
      </c>
      <c r="K266" s="2" t="str">
        <f t="shared" si="23"/>
        <v>High Confidence</v>
      </c>
      <c r="L266" s="2" t="s">
        <v>22</v>
      </c>
      <c r="M266" s="2" t="str">
        <f t="shared" si="26"/>
        <v>Human Content</v>
      </c>
      <c r="N266" s="2">
        <v>0.246</v>
      </c>
      <c r="O266" s="2" t="s">
        <v>22</v>
      </c>
      <c r="P266" s="2">
        <v>4185106</v>
      </c>
      <c r="Q266" s="2" t="str">
        <f t="shared" si="24"/>
        <v>High</v>
      </c>
      <c r="R266" s="2">
        <v>13824664</v>
      </c>
      <c r="S266" s="2" t="str">
        <f t="shared" si="27"/>
        <v>Highly Viral</v>
      </c>
      <c r="T266" s="2" t="s">
        <v>44</v>
      </c>
      <c r="U266" s="3" t="s">
        <v>25</v>
      </c>
    </row>
    <row r="267" spans="1:21" x14ac:dyDescent="0.3">
      <c r="A267" s="4" t="s">
        <v>327</v>
      </c>
      <c r="B267" s="9">
        <v>45537</v>
      </c>
      <c r="C267" s="4" t="s">
        <v>27</v>
      </c>
      <c r="D267" s="4" t="s">
        <v>18</v>
      </c>
      <c r="E267" s="4" t="s">
        <v>19</v>
      </c>
      <c r="F267" s="4" t="s">
        <v>76</v>
      </c>
      <c r="G267" s="4" t="s">
        <v>21</v>
      </c>
      <c r="H267" s="14">
        <v>41.9</v>
      </c>
      <c r="I267" s="2" t="str">
        <f t="shared" si="25"/>
        <v>Moderate Risk</v>
      </c>
      <c r="J267" s="4">
        <v>81.5</v>
      </c>
      <c r="K267" s="2" t="str">
        <f t="shared" si="23"/>
        <v>High Confidence</v>
      </c>
      <c r="L267" s="4" t="s">
        <v>43</v>
      </c>
      <c r="M267" s="2" t="str">
        <f t="shared" si="26"/>
        <v>Human Content</v>
      </c>
      <c r="N267" s="4">
        <v>0.79700000000000004</v>
      </c>
      <c r="O267" s="4" t="s">
        <v>30</v>
      </c>
      <c r="P267" s="4">
        <v>4560622</v>
      </c>
      <c r="Q267" s="2" t="str">
        <f t="shared" si="24"/>
        <v>High</v>
      </c>
      <c r="R267" s="4">
        <v>655817</v>
      </c>
      <c r="S267" s="2" t="b">
        <f t="shared" si="27"/>
        <v>0</v>
      </c>
      <c r="T267" s="4" t="s">
        <v>24</v>
      </c>
      <c r="U267" s="5" t="s">
        <v>32</v>
      </c>
    </row>
    <row r="268" spans="1:21" x14ac:dyDescent="0.3">
      <c r="A268" s="2" t="s">
        <v>328</v>
      </c>
      <c r="B268" s="8">
        <v>45475</v>
      </c>
      <c r="C268" s="2" t="s">
        <v>54</v>
      </c>
      <c r="D268" s="2" t="s">
        <v>60</v>
      </c>
      <c r="E268" s="2" t="s">
        <v>71</v>
      </c>
      <c r="F268" s="2" t="s">
        <v>52</v>
      </c>
      <c r="G268" s="2" t="s">
        <v>29</v>
      </c>
      <c r="H268" s="13">
        <v>50.2</v>
      </c>
      <c r="I268" s="2" t="str">
        <f t="shared" si="25"/>
        <v>Moderate Risk</v>
      </c>
      <c r="J268" s="2">
        <v>69</v>
      </c>
      <c r="K268" s="2" t="str">
        <f t="shared" si="23"/>
        <v>Moderate Confidence</v>
      </c>
      <c r="L268" s="2" t="s">
        <v>43</v>
      </c>
      <c r="M268" s="2" t="str">
        <f t="shared" si="26"/>
        <v>Human Content</v>
      </c>
      <c r="N268" s="2">
        <v>0.18</v>
      </c>
      <c r="O268" s="2" t="s">
        <v>22</v>
      </c>
      <c r="P268" s="2">
        <v>1837374</v>
      </c>
      <c r="Q268" s="2" t="str">
        <f t="shared" si="24"/>
        <v>Medium</v>
      </c>
      <c r="R268" s="2">
        <v>983760</v>
      </c>
      <c r="S268" s="2" t="b">
        <f t="shared" si="27"/>
        <v>0</v>
      </c>
      <c r="T268" s="2" t="s">
        <v>56</v>
      </c>
      <c r="U268" s="5" t="s">
        <v>32</v>
      </c>
    </row>
    <row r="269" spans="1:21" x14ac:dyDescent="0.3">
      <c r="A269" s="4" t="s">
        <v>329</v>
      </c>
      <c r="B269" s="9">
        <v>45321</v>
      </c>
      <c r="C269" s="4" t="s">
        <v>54</v>
      </c>
      <c r="D269" s="4" t="s">
        <v>60</v>
      </c>
      <c r="E269" s="4" t="s">
        <v>51</v>
      </c>
      <c r="F269" s="4" t="s">
        <v>58</v>
      </c>
      <c r="G269" s="4" t="s">
        <v>21</v>
      </c>
      <c r="H269" s="14">
        <v>97.4</v>
      </c>
      <c r="I269" s="2" t="str">
        <f t="shared" si="25"/>
        <v>High Risk</v>
      </c>
      <c r="J269" s="4">
        <v>54.9</v>
      </c>
      <c r="K269" s="2" t="str">
        <f t="shared" si="23"/>
        <v>Moderate Confidence</v>
      </c>
      <c r="L269" s="4" t="s">
        <v>30</v>
      </c>
      <c r="M269" s="2" t="str">
        <f t="shared" si="26"/>
        <v>AI Generated</v>
      </c>
      <c r="N269" s="4">
        <v>0.65700000000000003</v>
      </c>
      <c r="O269" s="4" t="s">
        <v>22</v>
      </c>
      <c r="P269" s="4">
        <v>4477012</v>
      </c>
      <c r="Q269" s="2" t="str">
        <f t="shared" si="24"/>
        <v>High</v>
      </c>
      <c r="R269" s="4">
        <v>1876483</v>
      </c>
      <c r="S269" s="2" t="str">
        <f t="shared" si="27"/>
        <v>Moderately Viral</v>
      </c>
      <c r="T269" s="4" t="s">
        <v>31</v>
      </c>
      <c r="U269" s="6" t="s">
        <v>48</v>
      </c>
    </row>
    <row r="270" spans="1:21" x14ac:dyDescent="0.3">
      <c r="A270" s="2" t="s">
        <v>330</v>
      </c>
      <c r="B270" s="8">
        <v>45586</v>
      </c>
      <c r="C270" s="2" t="s">
        <v>78</v>
      </c>
      <c r="D270" s="2" t="s">
        <v>40</v>
      </c>
      <c r="E270" s="2" t="s">
        <v>35</v>
      </c>
      <c r="F270" s="2" t="s">
        <v>20</v>
      </c>
      <c r="G270" s="2" t="s">
        <v>21</v>
      </c>
      <c r="H270" s="13">
        <v>59.3</v>
      </c>
      <c r="I270" s="2" t="str">
        <f t="shared" si="25"/>
        <v>Moderate Risk</v>
      </c>
      <c r="J270" s="2">
        <v>89.5</v>
      </c>
      <c r="K270" s="2" t="str">
        <f t="shared" si="23"/>
        <v>High Confidence</v>
      </c>
      <c r="L270" s="2" t="s">
        <v>43</v>
      </c>
      <c r="M270" s="2" t="str">
        <f t="shared" si="26"/>
        <v>Human Content</v>
      </c>
      <c r="N270" s="2">
        <v>0.69799999999999995</v>
      </c>
      <c r="O270" s="2" t="s">
        <v>23</v>
      </c>
      <c r="P270" s="2">
        <v>236713</v>
      </c>
      <c r="Q270" s="2" t="str">
        <f t="shared" si="24"/>
        <v>Low</v>
      </c>
      <c r="R270" s="2">
        <v>11800994</v>
      </c>
      <c r="S270" s="2" t="str">
        <f t="shared" si="27"/>
        <v>Highly Viral</v>
      </c>
      <c r="T270" s="2" t="s">
        <v>44</v>
      </c>
      <c r="U270" s="5" t="s">
        <v>32</v>
      </c>
    </row>
    <row r="271" spans="1:21" x14ac:dyDescent="0.3">
      <c r="A271" s="4" t="s">
        <v>331</v>
      </c>
      <c r="B271" s="9">
        <v>45580</v>
      </c>
      <c r="C271" s="4" t="s">
        <v>69</v>
      </c>
      <c r="D271" s="4" t="s">
        <v>60</v>
      </c>
      <c r="E271" s="4" t="s">
        <v>28</v>
      </c>
      <c r="F271" s="4" t="s">
        <v>76</v>
      </c>
      <c r="G271" s="4" t="s">
        <v>29</v>
      </c>
      <c r="H271" s="14">
        <v>30.9</v>
      </c>
      <c r="I271" s="2" t="str">
        <f t="shared" si="25"/>
        <v>Moderate Risk</v>
      </c>
      <c r="J271" s="4">
        <v>74</v>
      </c>
      <c r="K271" s="2" t="str">
        <f t="shared" si="23"/>
        <v>High Confidence</v>
      </c>
      <c r="L271" s="4" t="s">
        <v>22</v>
      </c>
      <c r="M271" s="2" t="str">
        <f t="shared" si="26"/>
        <v>Human Content</v>
      </c>
      <c r="N271" s="4">
        <v>0.09</v>
      </c>
      <c r="O271" s="4" t="s">
        <v>30</v>
      </c>
      <c r="P271" s="4">
        <v>1835602</v>
      </c>
      <c r="Q271" s="2" t="str">
        <f t="shared" si="24"/>
        <v>Medium</v>
      </c>
      <c r="R271" s="4">
        <v>669172</v>
      </c>
      <c r="S271" s="2" t="b">
        <f t="shared" si="27"/>
        <v>0</v>
      </c>
      <c r="T271" s="4" t="s">
        <v>44</v>
      </c>
      <c r="U271" s="3" t="s">
        <v>25</v>
      </c>
    </row>
    <row r="272" spans="1:21" x14ac:dyDescent="0.3">
      <c r="A272" s="2" t="s">
        <v>332</v>
      </c>
      <c r="B272" s="8">
        <v>45536</v>
      </c>
      <c r="C272" s="2" t="s">
        <v>27</v>
      </c>
      <c r="D272" s="2" t="s">
        <v>40</v>
      </c>
      <c r="E272" s="2" t="s">
        <v>28</v>
      </c>
      <c r="F272" s="2" t="s">
        <v>20</v>
      </c>
      <c r="G272" s="2" t="s">
        <v>64</v>
      </c>
      <c r="H272" s="13">
        <v>71.7</v>
      </c>
      <c r="I272" s="2" t="str">
        <f t="shared" si="25"/>
        <v>High Risk</v>
      </c>
      <c r="J272" s="2">
        <v>95</v>
      </c>
      <c r="K272" s="2" t="str">
        <f t="shared" si="23"/>
        <v>High Confidence</v>
      </c>
      <c r="L272" s="2" t="s">
        <v>30</v>
      </c>
      <c r="M272" s="2" t="str">
        <f t="shared" si="26"/>
        <v>AI Generated</v>
      </c>
      <c r="N272" s="2">
        <v>0.84399999999999997</v>
      </c>
      <c r="O272" s="2" t="s">
        <v>22</v>
      </c>
      <c r="P272" s="2">
        <v>499691</v>
      </c>
      <c r="Q272" s="2" t="str">
        <f t="shared" si="24"/>
        <v>Low</v>
      </c>
      <c r="R272" s="2">
        <v>735774</v>
      </c>
      <c r="S272" s="2" t="b">
        <f t="shared" si="27"/>
        <v>0</v>
      </c>
      <c r="T272" s="2" t="s">
        <v>31</v>
      </c>
      <c r="U272" s="6" t="s">
        <v>48</v>
      </c>
    </row>
    <row r="273" spans="1:21" x14ac:dyDescent="0.3">
      <c r="A273" s="4" t="s">
        <v>333</v>
      </c>
      <c r="B273" s="9">
        <v>45592</v>
      </c>
      <c r="C273" s="4" t="s">
        <v>69</v>
      </c>
      <c r="D273" s="4" t="s">
        <v>18</v>
      </c>
      <c r="E273" s="4" t="s">
        <v>51</v>
      </c>
      <c r="F273" s="4" t="s">
        <v>41</v>
      </c>
      <c r="G273" s="4" t="s">
        <v>64</v>
      </c>
      <c r="H273" s="14">
        <v>70.5</v>
      </c>
      <c r="I273" s="2" t="str">
        <f t="shared" si="25"/>
        <v>High Risk</v>
      </c>
      <c r="J273" s="4">
        <v>82.4</v>
      </c>
      <c r="K273" s="2" t="str">
        <f t="shared" si="23"/>
        <v>High Confidence</v>
      </c>
      <c r="L273" s="4" t="s">
        <v>30</v>
      </c>
      <c r="M273" s="2" t="str">
        <f t="shared" si="26"/>
        <v>AI Generated</v>
      </c>
      <c r="N273" s="4">
        <v>0.58599999999999997</v>
      </c>
      <c r="O273" s="4" t="s">
        <v>22</v>
      </c>
      <c r="P273" s="4">
        <v>2531489</v>
      </c>
      <c r="Q273" s="2" t="str">
        <f t="shared" si="24"/>
        <v>Medium</v>
      </c>
      <c r="R273" s="4">
        <v>10825267</v>
      </c>
      <c r="S273" s="2" t="str">
        <f t="shared" si="27"/>
        <v>Highly Viral</v>
      </c>
      <c r="T273" s="4" t="s">
        <v>31</v>
      </c>
      <c r="U273" s="6" t="s">
        <v>48</v>
      </c>
    </row>
    <row r="274" spans="1:21" x14ac:dyDescent="0.3">
      <c r="A274" s="2" t="s">
        <v>334</v>
      </c>
      <c r="B274" s="8">
        <v>45372</v>
      </c>
      <c r="C274" s="2" t="s">
        <v>78</v>
      </c>
      <c r="D274" s="2" t="s">
        <v>55</v>
      </c>
      <c r="E274" s="2" t="s">
        <v>51</v>
      </c>
      <c r="F274" s="2" t="s">
        <v>20</v>
      </c>
      <c r="G274" s="2" t="s">
        <v>42</v>
      </c>
      <c r="H274" s="13">
        <v>96.9</v>
      </c>
      <c r="I274" s="2" t="str">
        <f t="shared" si="25"/>
        <v>High Risk</v>
      </c>
      <c r="J274" s="2">
        <v>84</v>
      </c>
      <c r="K274" s="2" t="str">
        <f t="shared" si="23"/>
        <v>High Confidence</v>
      </c>
      <c r="L274" s="2" t="s">
        <v>30</v>
      </c>
      <c r="M274" s="2" t="str">
        <f t="shared" si="26"/>
        <v>AI Generated</v>
      </c>
      <c r="N274" s="2">
        <v>0.92900000000000005</v>
      </c>
      <c r="O274" s="2" t="s">
        <v>22</v>
      </c>
      <c r="P274" s="2">
        <v>1872749</v>
      </c>
      <c r="Q274" s="2" t="str">
        <f t="shared" si="24"/>
        <v>Medium</v>
      </c>
      <c r="R274" s="2">
        <v>19762387</v>
      </c>
      <c r="S274" s="2" t="str">
        <f t="shared" si="27"/>
        <v>Highly Viral</v>
      </c>
      <c r="T274" s="2" t="s">
        <v>31</v>
      </c>
      <c r="U274" s="6" t="s">
        <v>48</v>
      </c>
    </row>
    <row r="275" spans="1:21" x14ac:dyDescent="0.3">
      <c r="A275" s="4" t="s">
        <v>335</v>
      </c>
      <c r="B275" s="9">
        <v>45485</v>
      </c>
      <c r="C275" s="4" t="s">
        <v>34</v>
      </c>
      <c r="D275" s="4" t="s">
        <v>40</v>
      </c>
      <c r="E275" s="4" t="s">
        <v>35</v>
      </c>
      <c r="F275" s="4" t="s">
        <v>20</v>
      </c>
      <c r="G275" s="4" t="s">
        <v>42</v>
      </c>
      <c r="H275" s="14">
        <v>0.2</v>
      </c>
      <c r="I275" s="2" t="str">
        <f t="shared" si="25"/>
        <v>Moderate Risk</v>
      </c>
      <c r="J275" s="4">
        <v>84.4</v>
      </c>
      <c r="K275" s="2" t="str">
        <f t="shared" si="23"/>
        <v>High Confidence</v>
      </c>
      <c r="L275" s="4" t="s">
        <v>22</v>
      </c>
      <c r="M275" s="2" t="str">
        <f t="shared" si="26"/>
        <v>Human Content</v>
      </c>
      <c r="N275" s="4">
        <v>0.57299999999999995</v>
      </c>
      <c r="O275" s="4" t="s">
        <v>23</v>
      </c>
      <c r="P275" s="4">
        <v>271746</v>
      </c>
      <c r="Q275" s="2" t="str">
        <f t="shared" si="24"/>
        <v>Low</v>
      </c>
      <c r="R275" s="4">
        <v>6110149</v>
      </c>
      <c r="S275" s="2" t="str">
        <f t="shared" si="27"/>
        <v>Highly Viral</v>
      </c>
      <c r="T275" s="4" t="s">
        <v>44</v>
      </c>
      <c r="U275" s="3" t="s">
        <v>25</v>
      </c>
    </row>
    <row r="276" spans="1:21" x14ac:dyDescent="0.3">
      <c r="A276" s="2" t="s">
        <v>336</v>
      </c>
      <c r="B276" s="8">
        <v>45454</v>
      </c>
      <c r="C276" s="2" t="s">
        <v>46</v>
      </c>
      <c r="D276" s="2" t="s">
        <v>60</v>
      </c>
      <c r="E276" s="2" t="s">
        <v>73</v>
      </c>
      <c r="F276" s="2" t="s">
        <v>76</v>
      </c>
      <c r="G276" s="2" t="s">
        <v>21</v>
      </c>
      <c r="H276" s="13">
        <v>33.1</v>
      </c>
      <c r="I276" s="2" t="str">
        <f t="shared" si="25"/>
        <v>Moderate Risk</v>
      </c>
      <c r="J276" s="2">
        <v>53.8</v>
      </c>
      <c r="K276" s="2" t="str">
        <f t="shared" si="23"/>
        <v>Moderate Confidence</v>
      </c>
      <c r="L276" s="2" t="s">
        <v>22</v>
      </c>
      <c r="M276" s="2" t="str">
        <f t="shared" si="26"/>
        <v>Human Content</v>
      </c>
      <c r="N276" s="2">
        <v>0.34699999999999998</v>
      </c>
      <c r="O276" s="2" t="s">
        <v>22</v>
      </c>
      <c r="P276" s="2">
        <v>1408441</v>
      </c>
      <c r="Q276" s="2" t="str">
        <f t="shared" si="24"/>
        <v>Medium</v>
      </c>
      <c r="R276" s="2">
        <v>2977650</v>
      </c>
      <c r="S276" s="2" t="str">
        <f t="shared" si="27"/>
        <v>Moderately Viral</v>
      </c>
      <c r="T276" s="2" t="s">
        <v>56</v>
      </c>
      <c r="U276" s="3" t="s">
        <v>25</v>
      </c>
    </row>
    <row r="277" spans="1:21" x14ac:dyDescent="0.3">
      <c r="A277" s="4" t="s">
        <v>337</v>
      </c>
      <c r="B277" s="9">
        <v>45520</v>
      </c>
      <c r="C277" s="4" t="s">
        <v>27</v>
      </c>
      <c r="D277" s="4" t="s">
        <v>40</v>
      </c>
      <c r="E277" s="4" t="s">
        <v>28</v>
      </c>
      <c r="F277" s="4" t="s">
        <v>20</v>
      </c>
      <c r="G277" s="4" t="s">
        <v>42</v>
      </c>
      <c r="H277" s="14">
        <v>6.8</v>
      </c>
      <c r="I277" s="2" t="str">
        <f t="shared" si="25"/>
        <v>Moderate Risk</v>
      </c>
      <c r="J277" s="4">
        <v>62.6</v>
      </c>
      <c r="K277" s="2" t="str">
        <f t="shared" si="23"/>
        <v>Moderate Confidence</v>
      </c>
      <c r="L277" s="4" t="s">
        <v>22</v>
      </c>
      <c r="M277" s="2" t="str">
        <f t="shared" si="26"/>
        <v>Human Content</v>
      </c>
      <c r="N277" s="4">
        <v>0.108</v>
      </c>
      <c r="O277" s="4" t="s">
        <v>30</v>
      </c>
      <c r="P277" s="4">
        <v>403990</v>
      </c>
      <c r="Q277" s="2" t="str">
        <f t="shared" si="24"/>
        <v>Low</v>
      </c>
      <c r="R277" s="4">
        <v>12950400</v>
      </c>
      <c r="S277" s="2" t="str">
        <f t="shared" si="27"/>
        <v>Highly Viral</v>
      </c>
      <c r="T277" s="4" t="s">
        <v>24</v>
      </c>
      <c r="U277" s="3" t="s">
        <v>25</v>
      </c>
    </row>
    <row r="278" spans="1:21" x14ac:dyDescent="0.3">
      <c r="A278" s="2" t="s">
        <v>338</v>
      </c>
      <c r="B278" s="8">
        <v>45506</v>
      </c>
      <c r="C278" s="2" t="s">
        <v>69</v>
      </c>
      <c r="D278" s="2" t="s">
        <v>55</v>
      </c>
      <c r="E278" s="2" t="s">
        <v>71</v>
      </c>
      <c r="F278" s="2" t="s">
        <v>76</v>
      </c>
      <c r="G278" s="2" t="s">
        <v>64</v>
      </c>
      <c r="H278" s="13">
        <v>54.6</v>
      </c>
      <c r="I278" s="2" t="str">
        <f t="shared" si="25"/>
        <v>Moderate Risk</v>
      </c>
      <c r="J278" s="2">
        <v>55</v>
      </c>
      <c r="K278" s="2" t="str">
        <f t="shared" si="23"/>
        <v>Moderate Confidence</v>
      </c>
      <c r="L278" s="2" t="s">
        <v>43</v>
      </c>
      <c r="M278" s="2" t="str">
        <f t="shared" si="26"/>
        <v>Human Content</v>
      </c>
      <c r="N278" s="2">
        <v>0.47899999999999998</v>
      </c>
      <c r="O278" s="2" t="s">
        <v>23</v>
      </c>
      <c r="P278" s="2">
        <v>1892425</v>
      </c>
      <c r="Q278" s="2" t="str">
        <f t="shared" si="24"/>
        <v>Medium</v>
      </c>
      <c r="R278" s="2">
        <v>5458346</v>
      </c>
      <c r="S278" s="2" t="str">
        <f t="shared" si="27"/>
        <v>Highly Viral</v>
      </c>
      <c r="T278" s="2" t="s">
        <v>24</v>
      </c>
      <c r="U278" s="5" t="s">
        <v>32</v>
      </c>
    </row>
    <row r="279" spans="1:21" x14ac:dyDescent="0.3">
      <c r="A279" s="4" t="s">
        <v>339</v>
      </c>
      <c r="B279" s="9">
        <v>45329</v>
      </c>
      <c r="C279" s="4" t="s">
        <v>27</v>
      </c>
      <c r="D279" s="4" t="s">
        <v>40</v>
      </c>
      <c r="E279" s="4" t="s">
        <v>47</v>
      </c>
      <c r="F279" s="4" t="s">
        <v>52</v>
      </c>
      <c r="G279" s="4" t="s">
        <v>64</v>
      </c>
      <c r="H279" s="14">
        <v>95.2</v>
      </c>
      <c r="I279" s="2" t="str">
        <f t="shared" si="25"/>
        <v>High Risk</v>
      </c>
      <c r="J279" s="4">
        <v>53.6</v>
      </c>
      <c r="K279" s="2" t="str">
        <f t="shared" si="23"/>
        <v>Moderate Confidence</v>
      </c>
      <c r="L279" s="4" t="s">
        <v>30</v>
      </c>
      <c r="M279" s="2" t="str">
        <f t="shared" si="26"/>
        <v>AI Generated</v>
      </c>
      <c r="N279" s="4">
        <v>0.17</v>
      </c>
      <c r="O279" s="4" t="s">
        <v>22</v>
      </c>
      <c r="P279" s="4">
        <v>1349864</v>
      </c>
      <c r="Q279" s="2" t="str">
        <f t="shared" si="24"/>
        <v>Medium</v>
      </c>
      <c r="R279" s="4">
        <v>2517163</v>
      </c>
      <c r="S279" s="2" t="str">
        <f t="shared" si="27"/>
        <v>Moderately Viral</v>
      </c>
      <c r="T279" s="4" t="s">
        <v>44</v>
      </c>
      <c r="U279" s="6" t="s">
        <v>48</v>
      </c>
    </row>
    <row r="280" spans="1:21" x14ac:dyDescent="0.3">
      <c r="A280" s="2" t="s">
        <v>340</v>
      </c>
      <c r="B280" s="8">
        <v>45339</v>
      </c>
      <c r="C280" s="2" t="s">
        <v>39</v>
      </c>
      <c r="D280" s="2" t="s">
        <v>60</v>
      </c>
      <c r="E280" s="2" t="s">
        <v>71</v>
      </c>
      <c r="F280" s="2" t="s">
        <v>36</v>
      </c>
      <c r="G280" s="2" t="s">
        <v>67</v>
      </c>
      <c r="H280" s="13">
        <v>43.1</v>
      </c>
      <c r="I280" s="2" t="str">
        <f t="shared" si="25"/>
        <v>Moderate Risk</v>
      </c>
      <c r="J280" s="2">
        <v>82</v>
      </c>
      <c r="K280" s="2" t="str">
        <f t="shared" si="23"/>
        <v>High Confidence</v>
      </c>
      <c r="L280" s="2" t="s">
        <v>43</v>
      </c>
      <c r="M280" s="2" t="str">
        <f t="shared" si="26"/>
        <v>Human Content</v>
      </c>
      <c r="N280" s="2">
        <v>0.60699999999999998</v>
      </c>
      <c r="O280" s="2" t="s">
        <v>22</v>
      </c>
      <c r="P280" s="2">
        <v>1317982</v>
      </c>
      <c r="Q280" s="2" t="str">
        <f t="shared" si="24"/>
        <v>Medium</v>
      </c>
      <c r="R280" s="2">
        <v>1797532</v>
      </c>
      <c r="S280" s="2" t="str">
        <f t="shared" si="27"/>
        <v>Moderately Viral</v>
      </c>
      <c r="T280" s="2" t="s">
        <v>61</v>
      </c>
      <c r="U280" s="5" t="s">
        <v>32</v>
      </c>
    </row>
    <row r="281" spans="1:21" x14ac:dyDescent="0.3">
      <c r="A281" s="4" t="s">
        <v>341</v>
      </c>
      <c r="B281" s="9">
        <v>45461</v>
      </c>
      <c r="C281" s="4" t="s">
        <v>46</v>
      </c>
      <c r="D281" s="4" t="s">
        <v>50</v>
      </c>
      <c r="E281" s="4" t="s">
        <v>88</v>
      </c>
      <c r="F281" s="4" t="s">
        <v>36</v>
      </c>
      <c r="G281" s="4" t="s">
        <v>29</v>
      </c>
      <c r="H281" s="14">
        <v>72.2</v>
      </c>
      <c r="I281" s="2" t="str">
        <f t="shared" si="25"/>
        <v>High Risk</v>
      </c>
      <c r="J281" s="4">
        <v>85.8</v>
      </c>
      <c r="K281" s="2" t="str">
        <f t="shared" ref="K281:K344" si="28">IF(J281&gt;70,"High Confidence",IF(J281&gt;30,"Moderate Confidence",IF(J281&lt;30,"Low Confidence")))</f>
        <v>High Confidence</v>
      </c>
      <c r="L281" s="4" t="s">
        <v>30</v>
      </c>
      <c r="M281" s="2" t="str">
        <f t="shared" si="26"/>
        <v>AI Generated</v>
      </c>
      <c r="N281" s="4">
        <v>0.26500000000000001</v>
      </c>
      <c r="O281" s="4" t="s">
        <v>22</v>
      </c>
      <c r="P281" s="4">
        <v>2494877</v>
      </c>
      <c r="Q281" s="2" t="str">
        <f t="shared" si="24"/>
        <v>Medium</v>
      </c>
      <c r="R281" s="4">
        <v>7971297</v>
      </c>
      <c r="S281" s="2" t="str">
        <f t="shared" si="27"/>
        <v>Highly Viral</v>
      </c>
      <c r="T281" s="4" t="s">
        <v>61</v>
      </c>
      <c r="U281" s="6" t="s">
        <v>48</v>
      </c>
    </row>
    <row r="282" spans="1:21" x14ac:dyDescent="0.3">
      <c r="A282" s="2" t="s">
        <v>342</v>
      </c>
      <c r="B282" s="8">
        <v>45317</v>
      </c>
      <c r="C282" s="2" t="s">
        <v>78</v>
      </c>
      <c r="D282" s="2" t="s">
        <v>60</v>
      </c>
      <c r="E282" s="2" t="s">
        <v>71</v>
      </c>
      <c r="F282" s="2" t="s">
        <v>20</v>
      </c>
      <c r="G282" s="2" t="s">
        <v>67</v>
      </c>
      <c r="H282" s="13">
        <v>36.1</v>
      </c>
      <c r="I282" s="2" t="str">
        <f t="shared" si="25"/>
        <v>Moderate Risk</v>
      </c>
      <c r="J282" s="2">
        <v>71</v>
      </c>
      <c r="K282" s="2" t="str">
        <f t="shared" si="28"/>
        <v>High Confidence</v>
      </c>
      <c r="L282" s="2" t="s">
        <v>43</v>
      </c>
      <c r="M282" s="2" t="str">
        <f t="shared" si="26"/>
        <v>Human Content</v>
      </c>
      <c r="N282" s="2">
        <v>0.29499999999999998</v>
      </c>
      <c r="O282" s="2" t="s">
        <v>23</v>
      </c>
      <c r="P282" s="2">
        <v>4029386</v>
      </c>
      <c r="Q282" s="2" t="str">
        <f t="shared" si="24"/>
        <v>High</v>
      </c>
      <c r="R282" s="2">
        <v>6700474</v>
      </c>
      <c r="S282" s="2" t="str">
        <f t="shared" si="27"/>
        <v>Highly Viral</v>
      </c>
      <c r="T282" s="2" t="s">
        <v>61</v>
      </c>
      <c r="U282" s="5" t="s">
        <v>32</v>
      </c>
    </row>
    <row r="283" spans="1:21" x14ac:dyDescent="0.3">
      <c r="A283" s="4" t="s">
        <v>343</v>
      </c>
      <c r="B283" s="9">
        <v>45305</v>
      </c>
      <c r="C283" s="4" t="s">
        <v>46</v>
      </c>
      <c r="D283" s="4" t="s">
        <v>50</v>
      </c>
      <c r="E283" s="4" t="s">
        <v>19</v>
      </c>
      <c r="F283" s="4" t="s">
        <v>41</v>
      </c>
      <c r="G283" s="4" t="s">
        <v>37</v>
      </c>
      <c r="H283" s="14">
        <v>84.4</v>
      </c>
      <c r="I283" s="2" t="str">
        <f t="shared" si="25"/>
        <v>High Risk</v>
      </c>
      <c r="J283" s="4">
        <v>65.099999999999994</v>
      </c>
      <c r="K283" s="2" t="str">
        <f t="shared" si="28"/>
        <v>Moderate Confidence</v>
      </c>
      <c r="L283" s="4" t="s">
        <v>30</v>
      </c>
      <c r="M283" s="2" t="str">
        <f t="shared" si="26"/>
        <v>AI Generated</v>
      </c>
      <c r="N283" s="4">
        <v>0.39700000000000002</v>
      </c>
      <c r="O283" s="4" t="s">
        <v>22</v>
      </c>
      <c r="P283" s="4">
        <v>2223118</v>
      </c>
      <c r="Q283" s="2" t="str">
        <f t="shared" si="24"/>
        <v>Medium</v>
      </c>
      <c r="R283" s="4">
        <v>3058546</v>
      </c>
      <c r="S283" s="2" t="str">
        <f t="shared" si="27"/>
        <v>Moderately Viral</v>
      </c>
      <c r="T283" s="4" t="s">
        <v>44</v>
      </c>
      <c r="U283" s="6" t="s">
        <v>48</v>
      </c>
    </row>
    <row r="284" spans="1:21" x14ac:dyDescent="0.3">
      <c r="A284" s="2" t="s">
        <v>344</v>
      </c>
      <c r="B284" s="8">
        <v>45490</v>
      </c>
      <c r="C284" s="2" t="s">
        <v>69</v>
      </c>
      <c r="D284" s="2" t="s">
        <v>40</v>
      </c>
      <c r="E284" s="2" t="s">
        <v>88</v>
      </c>
      <c r="F284" s="2" t="s">
        <v>52</v>
      </c>
      <c r="G284" s="2" t="s">
        <v>21</v>
      </c>
      <c r="H284" s="13">
        <v>44.6</v>
      </c>
      <c r="I284" s="2" t="str">
        <f t="shared" si="25"/>
        <v>Moderate Risk</v>
      </c>
      <c r="J284" s="2">
        <v>62.9</v>
      </c>
      <c r="K284" s="2" t="str">
        <f t="shared" si="28"/>
        <v>Moderate Confidence</v>
      </c>
      <c r="L284" s="2" t="s">
        <v>43</v>
      </c>
      <c r="M284" s="2" t="str">
        <f t="shared" si="26"/>
        <v>Human Content</v>
      </c>
      <c r="N284" s="2">
        <v>0.46500000000000002</v>
      </c>
      <c r="O284" s="2" t="s">
        <v>30</v>
      </c>
      <c r="P284" s="2">
        <v>2252961</v>
      </c>
      <c r="Q284" s="2" t="str">
        <f t="shared" si="24"/>
        <v>Medium</v>
      </c>
      <c r="R284" s="2">
        <v>18933473</v>
      </c>
      <c r="S284" s="2" t="str">
        <f t="shared" si="27"/>
        <v>Highly Viral</v>
      </c>
      <c r="T284" s="2" t="s">
        <v>61</v>
      </c>
      <c r="U284" s="5" t="s">
        <v>32</v>
      </c>
    </row>
    <row r="285" spans="1:21" x14ac:dyDescent="0.3">
      <c r="A285" s="4" t="s">
        <v>345</v>
      </c>
      <c r="B285" s="9">
        <v>45369</v>
      </c>
      <c r="C285" s="4" t="s">
        <v>17</v>
      </c>
      <c r="D285" s="4" t="s">
        <v>18</v>
      </c>
      <c r="E285" s="4" t="s">
        <v>51</v>
      </c>
      <c r="F285" s="4" t="s">
        <v>58</v>
      </c>
      <c r="G285" s="4" t="s">
        <v>37</v>
      </c>
      <c r="H285" s="14">
        <v>97.1</v>
      </c>
      <c r="I285" s="2" t="str">
        <f t="shared" si="25"/>
        <v>High Risk</v>
      </c>
      <c r="J285" s="4">
        <v>78.900000000000006</v>
      </c>
      <c r="K285" s="2" t="str">
        <f t="shared" si="28"/>
        <v>High Confidence</v>
      </c>
      <c r="L285" s="4" t="s">
        <v>30</v>
      </c>
      <c r="M285" s="2" t="str">
        <f t="shared" si="26"/>
        <v>AI Generated</v>
      </c>
      <c r="N285" s="4">
        <v>0.55400000000000005</v>
      </c>
      <c r="O285" s="4" t="s">
        <v>22</v>
      </c>
      <c r="P285" s="4">
        <v>4383837</v>
      </c>
      <c r="Q285" s="2" t="str">
        <f t="shared" si="24"/>
        <v>High</v>
      </c>
      <c r="R285" s="4">
        <v>14047461</v>
      </c>
      <c r="S285" s="2" t="str">
        <f t="shared" si="27"/>
        <v>Highly Viral</v>
      </c>
      <c r="T285" s="4" t="s">
        <v>44</v>
      </c>
      <c r="U285" s="6" t="s">
        <v>48</v>
      </c>
    </row>
    <row r="286" spans="1:21" x14ac:dyDescent="0.3">
      <c r="A286" s="2" t="s">
        <v>346</v>
      </c>
      <c r="B286" s="8">
        <v>45643</v>
      </c>
      <c r="C286" s="2" t="s">
        <v>54</v>
      </c>
      <c r="D286" s="2" t="s">
        <v>60</v>
      </c>
      <c r="E286" s="2" t="s">
        <v>28</v>
      </c>
      <c r="F286" s="2" t="s">
        <v>76</v>
      </c>
      <c r="G286" s="2" t="s">
        <v>64</v>
      </c>
      <c r="H286" s="13">
        <v>7.9</v>
      </c>
      <c r="I286" s="2" t="str">
        <f t="shared" si="25"/>
        <v>Moderate Risk</v>
      </c>
      <c r="J286" s="2">
        <v>94.2</v>
      </c>
      <c r="K286" s="2" t="str">
        <f t="shared" si="28"/>
        <v>High Confidence</v>
      </c>
      <c r="L286" s="2" t="s">
        <v>22</v>
      </c>
      <c r="M286" s="2" t="str">
        <f t="shared" si="26"/>
        <v>Human Content</v>
      </c>
      <c r="N286" s="2">
        <v>0.71399999999999997</v>
      </c>
      <c r="O286" s="2" t="s">
        <v>23</v>
      </c>
      <c r="P286" s="2">
        <v>4791840</v>
      </c>
      <c r="Q286" s="2" t="str">
        <f t="shared" si="24"/>
        <v>High</v>
      </c>
      <c r="R286" s="2">
        <v>17342014</v>
      </c>
      <c r="S286" s="2" t="str">
        <f t="shared" si="27"/>
        <v>Highly Viral</v>
      </c>
      <c r="T286" s="2" t="s">
        <v>44</v>
      </c>
      <c r="U286" s="3" t="s">
        <v>25</v>
      </c>
    </row>
    <row r="287" spans="1:21" x14ac:dyDescent="0.3">
      <c r="A287" s="4" t="s">
        <v>347</v>
      </c>
      <c r="B287" s="9">
        <v>45638</v>
      </c>
      <c r="C287" s="4" t="s">
        <v>69</v>
      </c>
      <c r="D287" s="4" t="s">
        <v>18</v>
      </c>
      <c r="E287" s="4" t="s">
        <v>71</v>
      </c>
      <c r="F287" s="4" t="s">
        <v>20</v>
      </c>
      <c r="G287" s="4" t="s">
        <v>21</v>
      </c>
      <c r="H287" s="14">
        <v>97.2</v>
      </c>
      <c r="I287" s="2" t="str">
        <f t="shared" si="25"/>
        <v>High Risk</v>
      </c>
      <c r="J287" s="4">
        <v>89.6</v>
      </c>
      <c r="K287" s="2" t="str">
        <f t="shared" si="28"/>
        <v>High Confidence</v>
      </c>
      <c r="L287" s="4" t="s">
        <v>30</v>
      </c>
      <c r="M287" s="2" t="str">
        <f t="shared" si="26"/>
        <v>AI Generated</v>
      </c>
      <c r="N287" s="4">
        <v>0.126</v>
      </c>
      <c r="O287" s="4" t="s">
        <v>22</v>
      </c>
      <c r="P287" s="4">
        <v>657502</v>
      </c>
      <c r="Q287" s="2" t="str">
        <f t="shared" si="24"/>
        <v>Low</v>
      </c>
      <c r="R287" s="4">
        <v>14609873</v>
      </c>
      <c r="S287" s="2" t="str">
        <f t="shared" si="27"/>
        <v>Highly Viral</v>
      </c>
      <c r="T287" s="4" t="s">
        <v>31</v>
      </c>
      <c r="U287" s="6" t="s">
        <v>48</v>
      </c>
    </row>
    <row r="288" spans="1:21" x14ac:dyDescent="0.3">
      <c r="A288" s="2" t="s">
        <v>348</v>
      </c>
      <c r="B288" s="8">
        <v>45613</v>
      </c>
      <c r="C288" s="2" t="s">
        <v>69</v>
      </c>
      <c r="D288" s="2" t="s">
        <v>60</v>
      </c>
      <c r="E288" s="2" t="s">
        <v>19</v>
      </c>
      <c r="F288" s="2" t="s">
        <v>52</v>
      </c>
      <c r="G288" s="2" t="s">
        <v>42</v>
      </c>
      <c r="H288" s="13">
        <v>91.4</v>
      </c>
      <c r="I288" s="2" t="str">
        <f t="shared" si="25"/>
        <v>High Risk</v>
      </c>
      <c r="J288" s="2">
        <v>53.3</v>
      </c>
      <c r="K288" s="2" t="str">
        <f t="shared" si="28"/>
        <v>Moderate Confidence</v>
      </c>
      <c r="L288" s="2" t="s">
        <v>30</v>
      </c>
      <c r="M288" s="2" t="str">
        <f t="shared" si="26"/>
        <v>AI Generated</v>
      </c>
      <c r="N288" s="2">
        <v>0.38800000000000001</v>
      </c>
      <c r="O288" s="2" t="s">
        <v>22</v>
      </c>
      <c r="P288" s="2">
        <v>4631066</v>
      </c>
      <c r="Q288" s="2" t="str">
        <f t="shared" si="24"/>
        <v>High</v>
      </c>
      <c r="R288" s="2">
        <v>10943499</v>
      </c>
      <c r="S288" s="2" t="str">
        <f t="shared" si="27"/>
        <v>Highly Viral</v>
      </c>
      <c r="T288" s="2" t="s">
        <v>56</v>
      </c>
      <c r="U288" s="6" t="s">
        <v>48</v>
      </c>
    </row>
    <row r="289" spans="1:21" x14ac:dyDescent="0.3">
      <c r="A289" s="4" t="s">
        <v>349</v>
      </c>
      <c r="B289" s="9">
        <v>45558</v>
      </c>
      <c r="C289" s="4" t="s">
        <v>54</v>
      </c>
      <c r="D289" s="4" t="s">
        <v>18</v>
      </c>
      <c r="E289" s="4" t="s">
        <v>88</v>
      </c>
      <c r="F289" s="4" t="s">
        <v>41</v>
      </c>
      <c r="G289" s="4" t="s">
        <v>37</v>
      </c>
      <c r="H289" s="14">
        <v>15</v>
      </c>
      <c r="I289" s="2" t="str">
        <f t="shared" si="25"/>
        <v>Moderate Risk</v>
      </c>
      <c r="J289" s="4">
        <v>77.8</v>
      </c>
      <c r="K289" s="2" t="str">
        <f t="shared" si="28"/>
        <v>High Confidence</v>
      </c>
      <c r="L289" s="4" t="s">
        <v>22</v>
      </c>
      <c r="M289" s="2" t="str">
        <f t="shared" si="26"/>
        <v>Human Content</v>
      </c>
      <c r="N289" s="4">
        <v>0.58299999999999996</v>
      </c>
      <c r="O289" s="4" t="s">
        <v>30</v>
      </c>
      <c r="P289" s="4">
        <v>886229</v>
      </c>
      <c r="Q289" s="2" t="str">
        <f t="shared" si="24"/>
        <v>Low</v>
      </c>
      <c r="R289" s="4">
        <v>18881033</v>
      </c>
      <c r="S289" s="2" t="str">
        <f t="shared" si="27"/>
        <v>Highly Viral</v>
      </c>
      <c r="T289" s="4" t="s">
        <v>61</v>
      </c>
      <c r="U289" s="3" t="s">
        <v>25</v>
      </c>
    </row>
    <row r="290" spans="1:21" x14ac:dyDescent="0.3">
      <c r="A290" s="2" t="s">
        <v>350</v>
      </c>
      <c r="B290" s="8">
        <v>45438</v>
      </c>
      <c r="C290" s="2" t="s">
        <v>39</v>
      </c>
      <c r="D290" s="2" t="s">
        <v>55</v>
      </c>
      <c r="E290" s="2" t="s">
        <v>19</v>
      </c>
      <c r="F290" s="2" t="s">
        <v>76</v>
      </c>
      <c r="G290" s="2" t="s">
        <v>42</v>
      </c>
      <c r="H290" s="13">
        <v>48.6</v>
      </c>
      <c r="I290" s="2" t="str">
        <f t="shared" si="25"/>
        <v>Moderate Risk</v>
      </c>
      <c r="J290" s="2">
        <v>79.8</v>
      </c>
      <c r="K290" s="2" t="str">
        <f t="shared" si="28"/>
        <v>High Confidence</v>
      </c>
      <c r="L290" s="2" t="s">
        <v>43</v>
      </c>
      <c r="M290" s="2" t="str">
        <f t="shared" si="26"/>
        <v>Human Content</v>
      </c>
      <c r="N290" s="2">
        <v>3.6999999999999998E-2</v>
      </c>
      <c r="O290" s="2" t="s">
        <v>22</v>
      </c>
      <c r="P290" s="2">
        <v>3380490</v>
      </c>
      <c r="Q290" s="2" t="str">
        <f t="shared" si="24"/>
        <v>Medium</v>
      </c>
      <c r="R290" s="2">
        <v>4827394</v>
      </c>
      <c r="S290" s="2" t="str">
        <f t="shared" si="27"/>
        <v>Moderately Viral</v>
      </c>
      <c r="T290" s="2" t="s">
        <v>44</v>
      </c>
      <c r="U290" s="5" t="s">
        <v>32</v>
      </c>
    </row>
    <row r="291" spans="1:21" x14ac:dyDescent="0.3">
      <c r="A291" s="4" t="s">
        <v>351</v>
      </c>
      <c r="B291" s="9">
        <v>45603</v>
      </c>
      <c r="C291" s="4" t="s">
        <v>78</v>
      </c>
      <c r="D291" s="4" t="s">
        <v>18</v>
      </c>
      <c r="E291" s="4" t="s">
        <v>88</v>
      </c>
      <c r="F291" s="4" t="s">
        <v>52</v>
      </c>
      <c r="G291" s="4" t="s">
        <v>42</v>
      </c>
      <c r="H291" s="14">
        <v>23.8</v>
      </c>
      <c r="I291" s="2" t="str">
        <f t="shared" si="25"/>
        <v>Moderate Risk</v>
      </c>
      <c r="J291" s="4">
        <v>86.5</v>
      </c>
      <c r="K291" s="2" t="str">
        <f t="shared" si="28"/>
        <v>High Confidence</v>
      </c>
      <c r="L291" s="4" t="s">
        <v>22</v>
      </c>
      <c r="M291" s="2" t="str">
        <f t="shared" si="26"/>
        <v>Human Content</v>
      </c>
      <c r="N291" s="4">
        <v>0.92100000000000004</v>
      </c>
      <c r="O291" s="4" t="s">
        <v>22</v>
      </c>
      <c r="P291" s="4">
        <v>169825</v>
      </c>
      <c r="Q291" s="2" t="str">
        <f t="shared" si="24"/>
        <v>Low</v>
      </c>
      <c r="R291" s="4">
        <v>11337404</v>
      </c>
      <c r="S291" s="2" t="str">
        <f t="shared" si="27"/>
        <v>Highly Viral</v>
      </c>
      <c r="T291" s="4" t="s">
        <v>56</v>
      </c>
      <c r="U291" s="3" t="s">
        <v>25</v>
      </c>
    </row>
    <row r="292" spans="1:21" x14ac:dyDescent="0.3">
      <c r="A292" s="2" t="s">
        <v>352</v>
      </c>
      <c r="B292" s="8">
        <v>45451</v>
      </c>
      <c r="C292" s="2" t="s">
        <v>34</v>
      </c>
      <c r="D292" s="2" t="s">
        <v>55</v>
      </c>
      <c r="E292" s="2" t="s">
        <v>73</v>
      </c>
      <c r="F292" s="2" t="s">
        <v>20</v>
      </c>
      <c r="G292" s="2" t="s">
        <v>21</v>
      </c>
      <c r="H292" s="13">
        <v>30</v>
      </c>
      <c r="I292" s="2" t="str">
        <f t="shared" si="25"/>
        <v>Moderate Risk</v>
      </c>
      <c r="J292" s="2">
        <v>86.4</v>
      </c>
      <c r="K292" s="2" t="str">
        <f t="shared" si="28"/>
        <v>High Confidence</v>
      </c>
      <c r="L292" s="2" t="s">
        <v>22</v>
      </c>
      <c r="M292" s="2" t="str">
        <f t="shared" si="26"/>
        <v>Human Content</v>
      </c>
      <c r="N292" s="2">
        <v>0.77400000000000002</v>
      </c>
      <c r="O292" s="2" t="s">
        <v>22</v>
      </c>
      <c r="P292" s="2">
        <v>2260158</v>
      </c>
      <c r="Q292" s="2" t="str">
        <f t="shared" si="24"/>
        <v>Medium</v>
      </c>
      <c r="R292" s="2">
        <v>13985072</v>
      </c>
      <c r="S292" s="2" t="str">
        <f t="shared" si="27"/>
        <v>Highly Viral</v>
      </c>
      <c r="T292" s="2" t="s">
        <v>44</v>
      </c>
      <c r="U292" s="3" t="s">
        <v>25</v>
      </c>
    </row>
    <row r="293" spans="1:21" x14ac:dyDescent="0.3">
      <c r="A293" s="4" t="s">
        <v>353</v>
      </c>
      <c r="B293" s="9">
        <v>45622</v>
      </c>
      <c r="C293" s="4" t="s">
        <v>17</v>
      </c>
      <c r="D293" s="4" t="s">
        <v>50</v>
      </c>
      <c r="E293" s="4" t="s">
        <v>71</v>
      </c>
      <c r="F293" s="4" t="s">
        <v>20</v>
      </c>
      <c r="G293" s="4" t="s">
        <v>74</v>
      </c>
      <c r="H293" s="14">
        <v>40.700000000000003</v>
      </c>
      <c r="I293" s="2" t="str">
        <f t="shared" si="25"/>
        <v>Moderate Risk</v>
      </c>
      <c r="J293" s="4">
        <v>73.7</v>
      </c>
      <c r="K293" s="2" t="str">
        <f t="shared" si="28"/>
        <v>High Confidence</v>
      </c>
      <c r="L293" s="4" t="s">
        <v>43</v>
      </c>
      <c r="M293" s="2" t="str">
        <f t="shared" si="26"/>
        <v>Human Content</v>
      </c>
      <c r="N293" s="4">
        <v>0.51700000000000002</v>
      </c>
      <c r="O293" s="4" t="s">
        <v>22</v>
      </c>
      <c r="P293" s="4">
        <v>471588</v>
      </c>
      <c r="Q293" s="2" t="str">
        <f t="shared" si="24"/>
        <v>Low</v>
      </c>
      <c r="R293" s="4">
        <v>17290082</v>
      </c>
      <c r="S293" s="2" t="str">
        <f t="shared" si="27"/>
        <v>Highly Viral</v>
      </c>
      <c r="T293" s="4" t="s">
        <v>31</v>
      </c>
      <c r="U293" s="5" t="s">
        <v>32</v>
      </c>
    </row>
    <row r="294" spans="1:21" x14ac:dyDescent="0.3">
      <c r="A294" s="2" t="s">
        <v>354</v>
      </c>
      <c r="B294" s="8">
        <v>45325</v>
      </c>
      <c r="C294" s="2" t="s">
        <v>34</v>
      </c>
      <c r="D294" s="2" t="s">
        <v>60</v>
      </c>
      <c r="E294" s="2" t="s">
        <v>88</v>
      </c>
      <c r="F294" s="2" t="s">
        <v>20</v>
      </c>
      <c r="G294" s="2" t="s">
        <v>74</v>
      </c>
      <c r="H294" s="13">
        <v>85.1</v>
      </c>
      <c r="I294" s="2" t="str">
        <f t="shared" si="25"/>
        <v>High Risk</v>
      </c>
      <c r="J294" s="2">
        <v>93.1</v>
      </c>
      <c r="K294" s="2" t="str">
        <f t="shared" si="28"/>
        <v>High Confidence</v>
      </c>
      <c r="L294" s="2" t="s">
        <v>30</v>
      </c>
      <c r="M294" s="2" t="str">
        <f t="shared" si="26"/>
        <v>AI Generated</v>
      </c>
      <c r="N294" s="2">
        <v>2.9000000000000001E-2</v>
      </c>
      <c r="O294" s="2" t="s">
        <v>30</v>
      </c>
      <c r="P294" s="2">
        <v>1683918</v>
      </c>
      <c r="Q294" s="2" t="str">
        <f t="shared" si="24"/>
        <v>Medium</v>
      </c>
      <c r="R294" s="2">
        <v>1934158</v>
      </c>
      <c r="S294" s="2" t="str">
        <f t="shared" si="27"/>
        <v>Moderately Viral</v>
      </c>
      <c r="T294" s="2" t="s">
        <v>31</v>
      </c>
      <c r="U294" s="6" t="s">
        <v>48</v>
      </c>
    </row>
    <row r="295" spans="1:21" x14ac:dyDescent="0.3">
      <c r="A295" s="4" t="s">
        <v>355</v>
      </c>
      <c r="B295" s="9">
        <v>45308</v>
      </c>
      <c r="C295" s="4" t="s">
        <v>54</v>
      </c>
      <c r="D295" s="4" t="s">
        <v>18</v>
      </c>
      <c r="E295" s="4" t="s">
        <v>51</v>
      </c>
      <c r="F295" s="4" t="s">
        <v>36</v>
      </c>
      <c r="G295" s="4" t="s">
        <v>21</v>
      </c>
      <c r="H295" s="14">
        <v>27.4</v>
      </c>
      <c r="I295" s="2" t="str">
        <f t="shared" si="25"/>
        <v>Moderate Risk</v>
      </c>
      <c r="J295" s="4">
        <v>90.4</v>
      </c>
      <c r="K295" s="2" t="str">
        <f t="shared" si="28"/>
        <v>High Confidence</v>
      </c>
      <c r="L295" s="4" t="s">
        <v>22</v>
      </c>
      <c r="M295" s="2" t="str">
        <f t="shared" si="26"/>
        <v>Human Content</v>
      </c>
      <c r="N295" s="4">
        <v>0.505</v>
      </c>
      <c r="O295" s="4" t="s">
        <v>23</v>
      </c>
      <c r="P295" s="4">
        <v>1039220</v>
      </c>
      <c r="Q295" s="2" t="str">
        <f t="shared" ref="Q295:Q358" si="29">IF(P295&gt;4000000,"High",IF(P295&gt;1000000,"Medium",IF(P295&lt;1000000,"Low")))</f>
        <v>Medium</v>
      </c>
      <c r="R295" s="4">
        <v>1026030</v>
      </c>
      <c r="S295" s="2" t="str">
        <f t="shared" si="27"/>
        <v>Moderately Viral</v>
      </c>
      <c r="T295" s="4" t="s">
        <v>31</v>
      </c>
      <c r="U295" s="3" t="s">
        <v>25</v>
      </c>
    </row>
    <row r="296" spans="1:21" x14ac:dyDescent="0.3">
      <c r="A296" s="2" t="s">
        <v>356</v>
      </c>
      <c r="B296" s="8">
        <v>45482</v>
      </c>
      <c r="C296" s="2" t="s">
        <v>54</v>
      </c>
      <c r="D296" s="2" t="s">
        <v>60</v>
      </c>
      <c r="E296" s="2" t="s">
        <v>71</v>
      </c>
      <c r="F296" s="2" t="s">
        <v>20</v>
      </c>
      <c r="G296" s="2" t="s">
        <v>74</v>
      </c>
      <c r="H296" s="13">
        <v>47.5</v>
      </c>
      <c r="I296" s="2" t="str">
        <f t="shared" si="25"/>
        <v>Moderate Risk</v>
      </c>
      <c r="J296" s="2">
        <v>77</v>
      </c>
      <c r="K296" s="2" t="str">
        <f t="shared" si="28"/>
        <v>High Confidence</v>
      </c>
      <c r="L296" s="2" t="s">
        <v>43</v>
      </c>
      <c r="M296" s="2" t="str">
        <f t="shared" si="26"/>
        <v>Human Content</v>
      </c>
      <c r="N296" s="2">
        <v>0.34399999999999997</v>
      </c>
      <c r="O296" s="2" t="s">
        <v>22</v>
      </c>
      <c r="P296" s="2">
        <v>758362</v>
      </c>
      <c r="Q296" s="2" t="str">
        <f t="shared" si="29"/>
        <v>Low</v>
      </c>
      <c r="R296" s="2">
        <v>9565841</v>
      </c>
      <c r="S296" s="2" t="str">
        <f t="shared" si="27"/>
        <v>Highly Viral</v>
      </c>
      <c r="T296" s="2" t="s">
        <v>61</v>
      </c>
      <c r="U296" s="5" t="s">
        <v>32</v>
      </c>
    </row>
    <row r="297" spans="1:21" x14ac:dyDescent="0.3">
      <c r="A297" s="4" t="s">
        <v>357</v>
      </c>
      <c r="B297" s="9">
        <v>45489</v>
      </c>
      <c r="C297" s="4" t="s">
        <v>27</v>
      </c>
      <c r="D297" s="4" t="s">
        <v>50</v>
      </c>
      <c r="E297" s="4" t="s">
        <v>28</v>
      </c>
      <c r="F297" s="4" t="s">
        <v>20</v>
      </c>
      <c r="G297" s="4" t="s">
        <v>42</v>
      </c>
      <c r="H297" s="14">
        <v>22.5</v>
      </c>
      <c r="I297" s="2" t="str">
        <f t="shared" si="25"/>
        <v>Moderate Risk</v>
      </c>
      <c r="J297" s="4">
        <v>60.1</v>
      </c>
      <c r="K297" s="2" t="str">
        <f t="shared" si="28"/>
        <v>Moderate Confidence</v>
      </c>
      <c r="L297" s="4" t="s">
        <v>22</v>
      </c>
      <c r="M297" s="2" t="str">
        <f t="shared" si="26"/>
        <v>Human Content</v>
      </c>
      <c r="N297" s="4">
        <v>0.65200000000000002</v>
      </c>
      <c r="O297" s="4" t="s">
        <v>23</v>
      </c>
      <c r="P297" s="4">
        <v>168311</v>
      </c>
      <c r="Q297" s="2" t="str">
        <f t="shared" si="29"/>
        <v>Low</v>
      </c>
      <c r="R297" s="4">
        <v>299066</v>
      </c>
      <c r="S297" s="2" t="str">
        <f t="shared" si="27"/>
        <v>Low Viral</v>
      </c>
      <c r="T297" s="4" t="s">
        <v>24</v>
      </c>
      <c r="U297" s="3" t="s">
        <v>25</v>
      </c>
    </row>
    <row r="298" spans="1:21" x14ac:dyDescent="0.3">
      <c r="A298" s="2" t="s">
        <v>358</v>
      </c>
      <c r="B298" s="8">
        <v>45359</v>
      </c>
      <c r="C298" s="2" t="s">
        <v>69</v>
      </c>
      <c r="D298" s="2" t="s">
        <v>60</v>
      </c>
      <c r="E298" s="2" t="s">
        <v>47</v>
      </c>
      <c r="F298" s="2" t="s">
        <v>20</v>
      </c>
      <c r="G298" s="2" t="s">
        <v>64</v>
      </c>
      <c r="H298" s="13">
        <v>60.8</v>
      </c>
      <c r="I298" s="2" t="str">
        <f t="shared" si="25"/>
        <v>High Risk</v>
      </c>
      <c r="J298" s="2">
        <v>96.2</v>
      </c>
      <c r="K298" s="2" t="str">
        <f t="shared" si="28"/>
        <v>High Confidence</v>
      </c>
      <c r="L298" s="2" t="s">
        <v>30</v>
      </c>
      <c r="M298" s="2" t="str">
        <f t="shared" si="26"/>
        <v>AI Generated</v>
      </c>
      <c r="N298" s="2">
        <v>0.71299999999999997</v>
      </c>
      <c r="O298" s="2" t="s">
        <v>23</v>
      </c>
      <c r="P298" s="2">
        <v>2310142</v>
      </c>
      <c r="Q298" s="2" t="str">
        <f t="shared" si="29"/>
        <v>Medium</v>
      </c>
      <c r="R298" s="2">
        <v>14221096</v>
      </c>
      <c r="S298" s="2" t="str">
        <f t="shared" si="27"/>
        <v>Highly Viral</v>
      </c>
      <c r="T298" s="2" t="s">
        <v>24</v>
      </c>
      <c r="U298" s="5" t="s">
        <v>32</v>
      </c>
    </row>
    <row r="299" spans="1:21" x14ac:dyDescent="0.3">
      <c r="A299" s="4" t="s">
        <v>359</v>
      </c>
      <c r="B299" s="9">
        <v>45470</v>
      </c>
      <c r="C299" s="4" t="s">
        <v>54</v>
      </c>
      <c r="D299" s="4" t="s">
        <v>40</v>
      </c>
      <c r="E299" s="4" t="s">
        <v>28</v>
      </c>
      <c r="F299" s="4" t="s">
        <v>76</v>
      </c>
      <c r="G299" s="4" t="s">
        <v>64</v>
      </c>
      <c r="H299" s="14">
        <v>67.7</v>
      </c>
      <c r="I299" s="2" t="str">
        <f t="shared" si="25"/>
        <v>High Risk</v>
      </c>
      <c r="J299" s="4">
        <v>90.4</v>
      </c>
      <c r="K299" s="2" t="str">
        <f t="shared" si="28"/>
        <v>High Confidence</v>
      </c>
      <c r="L299" s="4" t="s">
        <v>30</v>
      </c>
      <c r="M299" s="2" t="str">
        <f t="shared" si="26"/>
        <v>AI Generated</v>
      </c>
      <c r="N299" s="4">
        <v>0.39700000000000002</v>
      </c>
      <c r="O299" s="4" t="s">
        <v>30</v>
      </c>
      <c r="P299" s="4">
        <v>61735</v>
      </c>
      <c r="Q299" s="2" t="str">
        <f t="shared" si="29"/>
        <v>Low</v>
      </c>
      <c r="R299" s="4">
        <v>17164052</v>
      </c>
      <c r="S299" s="2" t="str">
        <f t="shared" si="27"/>
        <v>Highly Viral</v>
      </c>
      <c r="T299" s="4" t="s">
        <v>56</v>
      </c>
      <c r="U299" s="6" t="s">
        <v>48</v>
      </c>
    </row>
    <row r="300" spans="1:21" x14ac:dyDescent="0.3">
      <c r="A300" s="2" t="s">
        <v>360</v>
      </c>
      <c r="B300" s="8">
        <v>45579</v>
      </c>
      <c r="C300" s="2" t="s">
        <v>34</v>
      </c>
      <c r="D300" s="2" t="s">
        <v>40</v>
      </c>
      <c r="E300" s="2" t="s">
        <v>73</v>
      </c>
      <c r="F300" s="2" t="s">
        <v>76</v>
      </c>
      <c r="G300" s="2" t="s">
        <v>67</v>
      </c>
      <c r="H300" s="13">
        <v>33.6</v>
      </c>
      <c r="I300" s="2" t="str">
        <f t="shared" si="25"/>
        <v>Moderate Risk</v>
      </c>
      <c r="J300" s="2">
        <v>63.5</v>
      </c>
      <c r="K300" s="2" t="str">
        <f t="shared" si="28"/>
        <v>Moderate Confidence</v>
      </c>
      <c r="L300" s="2" t="s">
        <v>22</v>
      </c>
      <c r="M300" s="2" t="str">
        <f t="shared" si="26"/>
        <v>Human Content</v>
      </c>
      <c r="N300" s="2">
        <v>0.32500000000000001</v>
      </c>
      <c r="O300" s="2" t="s">
        <v>22</v>
      </c>
      <c r="P300" s="2">
        <v>2190759</v>
      </c>
      <c r="Q300" s="2" t="str">
        <f t="shared" si="29"/>
        <v>Medium</v>
      </c>
      <c r="R300" s="2">
        <v>10026266</v>
      </c>
      <c r="S300" s="2" t="str">
        <f t="shared" si="27"/>
        <v>Highly Viral</v>
      </c>
      <c r="T300" s="2" t="s">
        <v>31</v>
      </c>
      <c r="U300" s="3" t="s">
        <v>25</v>
      </c>
    </row>
    <row r="301" spans="1:21" x14ac:dyDescent="0.3">
      <c r="A301" s="4" t="s">
        <v>361</v>
      </c>
      <c r="B301" s="9">
        <v>45368</v>
      </c>
      <c r="C301" s="4" t="s">
        <v>46</v>
      </c>
      <c r="D301" s="4" t="s">
        <v>18</v>
      </c>
      <c r="E301" s="4" t="s">
        <v>88</v>
      </c>
      <c r="F301" s="4" t="s">
        <v>36</v>
      </c>
      <c r="G301" s="4" t="s">
        <v>64</v>
      </c>
      <c r="H301" s="14">
        <v>68.099999999999994</v>
      </c>
      <c r="I301" s="2" t="str">
        <f t="shared" si="25"/>
        <v>High Risk</v>
      </c>
      <c r="J301" s="4">
        <v>85.3</v>
      </c>
      <c r="K301" s="2" t="str">
        <f t="shared" si="28"/>
        <v>High Confidence</v>
      </c>
      <c r="L301" s="4" t="s">
        <v>30</v>
      </c>
      <c r="M301" s="2" t="str">
        <f t="shared" si="26"/>
        <v>AI Generated</v>
      </c>
      <c r="N301" s="4">
        <v>0.65500000000000003</v>
      </c>
      <c r="O301" s="4" t="s">
        <v>22</v>
      </c>
      <c r="P301" s="4">
        <v>2176325</v>
      </c>
      <c r="Q301" s="2" t="str">
        <f t="shared" si="29"/>
        <v>Medium</v>
      </c>
      <c r="R301" s="4">
        <v>14045233</v>
      </c>
      <c r="S301" s="2" t="str">
        <f t="shared" si="27"/>
        <v>Highly Viral</v>
      </c>
      <c r="T301" s="4" t="s">
        <v>24</v>
      </c>
      <c r="U301" s="6" t="s">
        <v>48</v>
      </c>
    </row>
    <row r="302" spans="1:21" x14ac:dyDescent="0.3">
      <c r="A302" s="2" t="s">
        <v>362</v>
      </c>
      <c r="B302" s="8">
        <v>45490</v>
      </c>
      <c r="C302" s="2" t="s">
        <v>27</v>
      </c>
      <c r="D302" s="2" t="s">
        <v>60</v>
      </c>
      <c r="E302" s="2" t="s">
        <v>28</v>
      </c>
      <c r="F302" s="2" t="s">
        <v>52</v>
      </c>
      <c r="G302" s="2" t="s">
        <v>42</v>
      </c>
      <c r="H302" s="13">
        <v>71.3</v>
      </c>
      <c r="I302" s="2" t="str">
        <f t="shared" si="25"/>
        <v>High Risk</v>
      </c>
      <c r="J302" s="2">
        <v>83.6</v>
      </c>
      <c r="K302" s="2" t="str">
        <f t="shared" si="28"/>
        <v>High Confidence</v>
      </c>
      <c r="L302" s="2" t="s">
        <v>30</v>
      </c>
      <c r="M302" s="2" t="str">
        <f t="shared" si="26"/>
        <v>AI Generated</v>
      </c>
      <c r="N302" s="2">
        <v>0.63800000000000001</v>
      </c>
      <c r="O302" s="2" t="s">
        <v>22</v>
      </c>
      <c r="P302" s="2">
        <v>3007391</v>
      </c>
      <c r="Q302" s="2" t="str">
        <f t="shared" si="29"/>
        <v>Medium</v>
      </c>
      <c r="R302" s="2">
        <v>17023161</v>
      </c>
      <c r="S302" s="2" t="str">
        <f t="shared" si="27"/>
        <v>Highly Viral</v>
      </c>
      <c r="T302" s="2" t="s">
        <v>56</v>
      </c>
      <c r="U302" s="6" t="s">
        <v>48</v>
      </c>
    </row>
    <row r="303" spans="1:21" x14ac:dyDescent="0.3">
      <c r="A303" s="4" t="s">
        <v>363</v>
      </c>
      <c r="B303" s="9">
        <v>45379</v>
      </c>
      <c r="C303" s="4" t="s">
        <v>69</v>
      </c>
      <c r="D303" s="4" t="s">
        <v>40</v>
      </c>
      <c r="E303" s="4" t="s">
        <v>73</v>
      </c>
      <c r="F303" s="4" t="s">
        <v>76</v>
      </c>
      <c r="G303" s="4" t="s">
        <v>21</v>
      </c>
      <c r="H303" s="14">
        <v>74.099999999999994</v>
      </c>
      <c r="I303" s="2" t="str">
        <f t="shared" si="25"/>
        <v>High Risk</v>
      </c>
      <c r="J303" s="4">
        <v>85.5</v>
      </c>
      <c r="K303" s="2" t="str">
        <f t="shared" si="28"/>
        <v>High Confidence</v>
      </c>
      <c r="L303" s="4" t="s">
        <v>30</v>
      </c>
      <c r="M303" s="2" t="str">
        <f t="shared" si="26"/>
        <v>AI Generated</v>
      </c>
      <c r="N303" s="4">
        <v>0.55900000000000005</v>
      </c>
      <c r="O303" s="4" t="s">
        <v>30</v>
      </c>
      <c r="P303" s="4">
        <v>2815589</v>
      </c>
      <c r="Q303" s="2" t="str">
        <f t="shared" si="29"/>
        <v>Medium</v>
      </c>
      <c r="R303" s="4">
        <v>2996904</v>
      </c>
      <c r="S303" s="2" t="str">
        <f t="shared" si="27"/>
        <v>Moderately Viral</v>
      </c>
      <c r="T303" s="4" t="s">
        <v>31</v>
      </c>
      <c r="U303" s="6" t="s">
        <v>48</v>
      </c>
    </row>
    <row r="304" spans="1:21" x14ac:dyDescent="0.3">
      <c r="A304" s="2" t="s">
        <v>364</v>
      </c>
      <c r="B304" s="8">
        <v>45473</v>
      </c>
      <c r="C304" s="2" t="s">
        <v>46</v>
      </c>
      <c r="D304" s="2" t="s">
        <v>40</v>
      </c>
      <c r="E304" s="2" t="s">
        <v>88</v>
      </c>
      <c r="F304" s="2" t="s">
        <v>52</v>
      </c>
      <c r="G304" s="2" t="s">
        <v>64</v>
      </c>
      <c r="H304" s="13">
        <v>26.1</v>
      </c>
      <c r="I304" s="2" t="str">
        <f t="shared" si="25"/>
        <v>Moderate Risk</v>
      </c>
      <c r="J304" s="2">
        <v>64.400000000000006</v>
      </c>
      <c r="K304" s="2" t="str">
        <f t="shared" si="28"/>
        <v>Moderate Confidence</v>
      </c>
      <c r="L304" s="2" t="s">
        <v>22</v>
      </c>
      <c r="M304" s="2" t="str">
        <f t="shared" si="26"/>
        <v>Human Content</v>
      </c>
      <c r="N304" s="2">
        <v>0.85099999999999998</v>
      </c>
      <c r="O304" s="2" t="s">
        <v>22</v>
      </c>
      <c r="P304" s="2">
        <v>450374</v>
      </c>
      <c r="Q304" s="2" t="str">
        <f t="shared" si="29"/>
        <v>Low</v>
      </c>
      <c r="R304" s="2">
        <v>19582014</v>
      </c>
      <c r="S304" s="2" t="str">
        <f t="shared" si="27"/>
        <v>Highly Viral</v>
      </c>
      <c r="T304" s="2" t="s">
        <v>44</v>
      </c>
      <c r="U304" s="3" t="s">
        <v>25</v>
      </c>
    </row>
    <row r="305" spans="1:21" x14ac:dyDescent="0.3">
      <c r="A305" s="4" t="s">
        <v>365</v>
      </c>
      <c r="B305" s="9">
        <v>45609</v>
      </c>
      <c r="C305" s="4" t="s">
        <v>17</v>
      </c>
      <c r="D305" s="4" t="s">
        <v>55</v>
      </c>
      <c r="E305" s="4" t="s">
        <v>28</v>
      </c>
      <c r="F305" s="4" t="s">
        <v>58</v>
      </c>
      <c r="G305" s="4" t="s">
        <v>67</v>
      </c>
      <c r="H305" s="14">
        <v>86.7</v>
      </c>
      <c r="I305" s="2" t="str">
        <f t="shared" si="25"/>
        <v>High Risk</v>
      </c>
      <c r="J305" s="4">
        <v>68.7</v>
      </c>
      <c r="K305" s="2" t="str">
        <f t="shared" si="28"/>
        <v>Moderate Confidence</v>
      </c>
      <c r="L305" s="4" t="s">
        <v>30</v>
      </c>
      <c r="M305" s="2" t="str">
        <f t="shared" si="26"/>
        <v>AI Generated</v>
      </c>
      <c r="N305" s="4">
        <v>0.29799999999999999</v>
      </c>
      <c r="O305" s="4" t="s">
        <v>30</v>
      </c>
      <c r="P305" s="4">
        <v>1264921</v>
      </c>
      <c r="Q305" s="2" t="str">
        <f t="shared" si="29"/>
        <v>Medium</v>
      </c>
      <c r="R305" s="4">
        <v>4609713</v>
      </c>
      <c r="S305" s="2" t="str">
        <f t="shared" si="27"/>
        <v>Moderately Viral</v>
      </c>
      <c r="T305" s="4" t="s">
        <v>31</v>
      </c>
      <c r="U305" s="6" t="s">
        <v>48</v>
      </c>
    </row>
    <row r="306" spans="1:21" x14ac:dyDescent="0.3">
      <c r="A306" s="2" t="s">
        <v>366</v>
      </c>
      <c r="B306" s="8">
        <v>45467</v>
      </c>
      <c r="C306" s="2" t="s">
        <v>78</v>
      </c>
      <c r="D306" s="2" t="s">
        <v>60</v>
      </c>
      <c r="E306" s="2" t="s">
        <v>71</v>
      </c>
      <c r="F306" s="2" t="s">
        <v>20</v>
      </c>
      <c r="G306" s="2" t="s">
        <v>64</v>
      </c>
      <c r="H306" s="13">
        <v>86.2</v>
      </c>
      <c r="I306" s="2" t="str">
        <f t="shared" si="25"/>
        <v>High Risk</v>
      </c>
      <c r="J306" s="2">
        <v>58.8</v>
      </c>
      <c r="K306" s="2" t="str">
        <f t="shared" si="28"/>
        <v>Moderate Confidence</v>
      </c>
      <c r="L306" s="2" t="s">
        <v>30</v>
      </c>
      <c r="M306" s="2" t="str">
        <f t="shared" si="26"/>
        <v>AI Generated</v>
      </c>
      <c r="N306" s="2">
        <v>8.1000000000000003E-2</v>
      </c>
      <c r="O306" s="2" t="s">
        <v>22</v>
      </c>
      <c r="P306" s="2">
        <v>1483409</v>
      </c>
      <c r="Q306" s="2" t="str">
        <f t="shared" si="29"/>
        <v>Medium</v>
      </c>
      <c r="R306" s="2">
        <v>10516931</v>
      </c>
      <c r="S306" s="2" t="str">
        <f t="shared" si="27"/>
        <v>Highly Viral</v>
      </c>
      <c r="T306" s="2" t="s">
        <v>61</v>
      </c>
      <c r="U306" s="6" t="s">
        <v>48</v>
      </c>
    </row>
    <row r="307" spans="1:21" x14ac:dyDescent="0.3">
      <c r="A307" s="4" t="s">
        <v>367</v>
      </c>
      <c r="B307" s="9">
        <v>45294</v>
      </c>
      <c r="C307" s="4" t="s">
        <v>54</v>
      </c>
      <c r="D307" s="4" t="s">
        <v>40</v>
      </c>
      <c r="E307" s="4" t="s">
        <v>28</v>
      </c>
      <c r="F307" s="4" t="s">
        <v>20</v>
      </c>
      <c r="G307" s="4" t="s">
        <v>29</v>
      </c>
      <c r="H307" s="14">
        <v>76.400000000000006</v>
      </c>
      <c r="I307" s="2" t="str">
        <f t="shared" si="25"/>
        <v>High Risk</v>
      </c>
      <c r="J307" s="4">
        <v>74</v>
      </c>
      <c r="K307" s="2" t="str">
        <f t="shared" si="28"/>
        <v>High Confidence</v>
      </c>
      <c r="L307" s="4" t="s">
        <v>30</v>
      </c>
      <c r="M307" s="2" t="str">
        <f t="shared" si="26"/>
        <v>AI Generated</v>
      </c>
      <c r="N307" s="4">
        <v>0.76400000000000001</v>
      </c>
      <c r="O307" s="4" t="s">
        <v>30</v>
      </c>
      <c r="P307" s="4">
        <v>1085635</v>
      </c>
      <c r="Q307" s="2" t="str">
        <f t="shared" si="29"/>
        <v>Medium</v>
      </c>
      <c r="R307" s="4">
        <v>14553440</v>
      </c>
      <c r="S307" s="2" t="str">
        <f t="shared" si="27"/>
        <v>Highly Viral</v>
      </c>
      <c r="T307" s="4" t="s">
        <v>24</v>
      </c>
      <c r="U307" s="6" t="s">
        <v>48</v>
      </c>
    </row>
    <row r="308" spans="1:21" x14ac:dyDescent="0.3">
      <c r="A308" s="2" t="s">
        <v>368</v>
      </c>
      <c r="B308" s="8">
        <v>45498</v>
      </c>
      <c r="C308" s="2" t="s">
        <v>78</v>
      </c>
      <c r="D308" s="2" t="s">
        <v>55</v>
      </c>
      <c r="E308" s="2" t="s">
        <v>88</v>
      </c>
      <c r="F308" s="2" t="s">
        <v>41</v>
      </c>
      <c r="G308" s="2" t="s">
        <v>67</v>
      </c>
      <c r="H308" s="13">
        <v>53.4</v>
      </c>
      <c r="I308" s="2" t="str">
        <f t="shared" si="25"/>
        <v>Moderate Risk</v>
      </c>
      <c r="J308" s="2">
        <v>85.8</v>
      </c>
      <c r="K308" s="2" t="str">
        <f t="shared" si="28"/>
        <v>High Confidence</v>
      </c>
      <c r="L308" s="2" t="s">
        <v>43</v>
      </c>
      <c r="M308" s="2" t="str">
        <f t="shared" si="26"/>
        <v>Human Content</v>
      </c>
      <c r="N308" s="2">
        <v>0.95</v>
      </c>
      <c r="O308" s="2" t="s">
        <v>22</v>
      </c>
      <c r="P308" s="2">
        <v>4454734</v>
      </c>
      <c r="Q308" s="2" t="str">
        <f t="shared" si="29"/>
        <v>High</v>
      </c>
      <c r="R308" s="2">
        <v>6395193</v>
      </c>
      <c r="S308" s="2" t="str">
        <f t="shared" si="27"/>
        <v>Highly Viral</v>
      </c>
      <c r="T308" s="2" t="s">
        <v>61</v>
      </c>
      <c r="U308" s="5" t="s">
        <v>32</v>
      </c>
    </row>
    <row r="309" spans="1:21" x14ac:dyDescent="0.3">
      <c r="A309" s="4" t="s">
        <v>369</v>
      </c>
      <c r="B309" s="9">
        <v>45638</v>
      </c>
      <c r="C309" s="4" t="s">
        <v>27</v>
      </c>
      <c r="D309" s="4" t="s">
        <v>50</v>
      </c>
      <c r="E309" s="4" t="s">
        <v>28</v>
      </c>
      <c r="F309" s="4" t="s">
        <v>36</v>
      </c>
      <c r="G309" s="4" t="s">
        <v>64</v>
      </c>
      <c r="H309" s="14">
        <v>31.2</v>
      </c>
      <c r="I309" s="2" t="str">
        <f t="shared" si="25"/>
        <v>Moderate Risk</v>
      </c>
      <c r="J309" s="4">
        <v>55</v>
      </c>
      <c r="K309" s="2" t="str">
        <f t="shared" si="28"/>
        <v>Moderate Confidence</v>
      </c>
      <c r="L309" s="4" t="s">
        <v>22</v>
      </c>
      <c r="M309" s="2" t="str">
        <f t="shared" si="26"/>
        <v>Human Content</v>
      </c>
      <c r="N309" s="4">
        <v>0.503</v>
      </c>
      <c r="O309" s="4" t="s">
        <v>22</v>
      </c>
      <c r="P309" s="4">
        <v>1401166</v>
      </c>
      <c r="Q309" s="2" t="str">
        <f t="shared" si="29"/>
        <v>Medium</v>
      </c>
      <c r="R309" s="4">
        <v>2191168</v>
      </c>
      <c r="S309" s="2" t="str">
        <f t="shared" si="27"/>
        <v>Moderately Viral</v>
      </c>
      <c r="T309" s="4" t="s">
        <v>61</v>
      </c>
      <c r="U309" s="3" t="s">
        <v>25</v>
      </c>
    </row>
    <row r="310" spans="1:21" x14ac:dyDescent="0.3">
      <c r="A310" s="2" t="s">
        <v>370</v>
      </c>
      <c r="B310" s="8">
        <v>45444</v>
      </c>
      <c r="C310" s="2" t="s">
        <v>34</v>
      </c>
      <c r="D310" s="2" t="s">
        <v>55</v>
      </c>
      <c r="E310" s="2" t="s">
        <v>51</v>
      </c>
      <c r="F310" s="2" t="s">
        <v>76</v>
      </c>
      <c r="G310" s="2" t="s">
        <v>42</v>
      </c>
      <c r="H310" s="13">
        <v>99.5</v>
      </c>
      <c r="I310" s="2" t="str">
        <f t="shared" si="25"/>
        <v>High Risk</v>
      </c>
      <c r="J310" s="2">
        <v>66.8</v>
      </c>
      <c r="K310" s="2" t="str">
        <f t="shared" si="28"/>
        <v>Moderate Confidence</v>
      </c>
      <c r="L310" s="2" t="s">
        <v>30</v>
      </c>
      <c r="M310" s="2" t="str">
        <f t="shared" si="26"/>
        <v>AI Generated</v>
      </c>
      <c r="N310" s="2">
        <v>0.90100000000000002</v>
      </c>
      <c r="O310" s="2" t="s">
        <v>22</v>
      </c>
      <c r="P310" s="2">
        <v>1580732</v>
      </c>
      <c r="Q310" s="2" t="str">
        <f t="shared" si="29"/>
        <v>Medium</v>
      </c>
      <c r="R310" s="2">
        <v>5533072</v>
      </c>
      <c r="S310" s="2" t="str">
        <f t="shared" si="27"/>
        <v>Highly Viral</v>
      </c>
      <c r="T310" s="2" t="s">
        <v>24</v>
      </c>
      <c r="U310" s="6" t="s">
        <v>48</v>
      </c>
    </row>
    <row r="311" spans="1:21" x14ac:dyDescent="0.3">
      <c r="A311" s="4" t="s">
        <v>371</v>
      </c>
      <c r="B311" s="9">
        <v>45301</v>
      </c>
      <c r="C311" s="4" t="s">
        <v>46</v>
      </c>
      <c r="D311" s="4" t="s">
        <v>50</v>
      </c>
      <c r="E311" s="4" t="s">
        <v>35</v>
      </c>
      <c r="F311" s="4" t="s">
        <v>20</v>
      </c>
      <c r="G311" s="4" t="s">
        <v>42</v>
      </c>
      <c r="H311" s="14">
        <v>2.2000000000000002</v>
      </c>
      <c r="I311" s="2" t="str">
        <f t="shared" si="25"/>
        <v>Moderate Risk</v>
      </c>
      <c r="J311" s="4">
        <v>74.7</v>
      </c>
      <c r="K311" s="2" t="str">
        <f t="shared" si="28"/>
        <v>High Confidence</v>
      </c>
      <c r="L311" s="4" t="s">
        <v>22</v>
      </c>
      <c r="M311" s="2" t="str">
        <f t="shared" si="26"/>
        <v>Human Content</v>
      </c>
      <c r="N311" s="4">
        <v>0.123</v>
      </c>
      <c r="O311" s="4" t="s">
        <v>23</v>
      </c>
      <c r="P311" s="4">
        <v>313527</v>
      </c>
      <c r="Q311" s="2" t="str">
        <f t="shared" si="29"/>
        <v>Low</v>
      </c>
      <c r="R311" s="4">
        <v>12589868</v>
      </c>
      <c r="S311" s="2" t="str">
        <f t="shared" si="27"/>
        <v>Highly Viral</v>
      </c>
      <c r="T311" s="4" t="s">
        <v>56</v>
      </c>
      <c r="U311" s="3" t="s">
        <v>25</v>
      </c>
    </row>
    <row r="312" spans="1:21" x14ac:dyDescent="0.3">
      <c r="A312" s="2" t="s">
        <v>372</v>
      </c>
      <c r="B312" s="8">
        <v>45565</v>
      </c>
      <c r="C312" s="2" t="s">
        <v>27</v>
      </c>
      <c r="D312" s="2" t="s">
        <v>60</v>
      </c>
      <c r="E312" s="2" t="s">
        <v>47</v>
      </c>
      <c r="F312" s="2" t="s">
        <v>36</v>
      </c>
      <c r="G312" s="2" t="s">
        <v>67</v>
      </c>
      <c r="H312" s="13">
        <v>65.400000000000006</v>
      </c>
      <c r="I312" s="2" t="str">
        <f t="shared" si="25"/>
        <v>High Risk</v>
      </c>
      <c r="J312" s="2">
        <v>51</v>
      </c>
      <c r="K312" s="2" t="str">
        <f t="shared" si="28"/>
        <v>Moderate Confidence</v>
      </c>
      <c r="L312" s="2" t="s">
        <v>30</v>
      </c>
      <c r="M312" s="2" t="str">
        <f t="shared" si="26"/>
        <v>AI Generated</v>
      </c>
      <c r="N312" s="2">
        <v>0.69</v>
      </c>
      <c r="O312" s="2" t="s">
        <v>22</v>
      </c>
      <c r="P312" s="2">
        <v>3727278</v>
      </c>
      <c r="Q312" s="2" t="str">
        <f t="shared" si="29"/>
        <v>Medium</v>
      </c>
      <c r="R312" s="2">
        <v>12759699</v>
      </c>
      <c r="S312" s="2" t="str">
        <f t="shared" si="27"/>
        <v>Highly Viral</v>
      </c>
      <c r="T312" s="2" t="s">
        <v>61</v>
      </c>
      <c r="U312" s="6" t="s">
        <v>48</v>
      </c>
    </row>
    <row r="313" spans="1:21" x14ac:dyDescent="0.3">
      <c r="A313" s="4" t="s">
        <v>373</v>
      </c>
      <c r="B313" s="9">
        <v>45572</v>
      </c>
      <c r="C313" s="4" t="s">
        <v>34</v>
      </c>
      <c r="D313" s="4" t="s">
        <v>55</v>
      </c>
      <c r="E313" s="4" t="s">
        <v>35</v>
      </c>
      <c r="F313" s="4" t="s">
        <v>20</v>
      </c>
      <c r="G313" s="4" t="s">
        <v>42</v>
      </c>
      <c r="H313" s="14">
        <v>68.599999999999994</v>
      </c>
      <c r="I313" s="2" t="str">
        <f t="shared" si="25"/>
        <v>High Risk</v>
      </c>
      <c r="J313" s="4">
        <v>50.5</v>
      </c>
      <c r="K313" s="2" t="str">
        <f t="shared" si="28"/>
        <v>Moderate Confidence</v>
      </c>
      <c r="L313" s="4" t="s">
        <v>30</v>
      </c>
      <c r="M313" s="2" t="str">
        <f t="shared" si="26"/>
        <v>AI Generated</v>
      </c>
      <c r="N313" s="4">
        <v>0.42099999999999999</v>
      </c>
      <c r="O313" s="4" t="s">
        <v>30</v>
      </c>
      <c r="P313" s="4">
        <v>4364770</v>
      </c>
      <c r="Q313" s="2" t="str">
        <f t="shared" si="29"/>
        <v>High</v>
      </c>
      <c r="R313" s="4">
        <v>9059429</v>
      </c>
      <c r="S313" s="2" t="str">
        <f t="shared" si="27"/>
        <v>Highly Viral</v>
      </c>
      <c r="T313" s="4" t="s">
        <v>44</v>
      </c>
      <c r="U313" s="6" t="s">
        <v>48</v>
      </c>
    </row>
    <row r="314" spans="1:21" x14ac:dyDescent="0.3">
      <c r="A314" s="2" t="s">
        <v>374</v>
      </c>
      <c r="B314" s="8">
        <v>45602</v>
      </c>
      <c r="C314" s="2" t="s">
        <v>69</v>
      </c>
      <c r="D314" s="2" t="s">
        <v>55</v>
      </c>
      <c r="E314" s="2" t="s">
        <v>73</v>
      </c>
      <c r="F314" s="2" t="s">
        <v>58</v>
      </c>
      <c r="G314" s="2" t="s">
        <v>42</v>
      </c>
      <c r="H314" s="13">
        <v>61.8</v>
      </c>
      <c r="I314" s="2" t="str">
        <f t="shared" si="25"/>
        <v>High Risk</v>
      </c>
      <c r="J314" s="2">
        <v>63.9</v>
      </c>
      <c r="K314" s="2" t="str">
        <f t="shared" si="28"/>
        <v>Moderate Confidence</v>
      </c>
      <c r="L314" s="2" t="s">
        <v>30</v>
      </c>
      <c r="M314" s="2" t="str">
        <f t="shared" si="26"/>
        <v>AI Generated</v>
      </c>
      <c r="N314" s="2">
        <v>0.78500000000000003</v>
      </c>
      <c r="O314" s="2" t="s">
        <v>22</v>
      </c>
      <c r="P314" s="2">
        <v>1666468</v>
      </c>
      <c r="Q314" s="2" t="str">
        <f t="shared" si="29"/>
        <v>Medium</v>
      </c>
      <c r="R314" s="2">
        <v>6702977</v>
      </c>
      <c r="S314" s="2" t="str">
        <f t="shared" si="27"/>
        <v>Highly Viral</v>
      </c>
      <c r="T314" s="2" t="s">
        <v>56</v>
      </c>
      <c r="U314" s="5" t="s">
        <v>32</v>
      </c>
    </row>
    <row r="315" spans="1:21" x14ac:dyDescent="0.3">
      <c r="A315" s="4" t="s">
        <v>375</v>
      </c>
      <c r="B315" s="9">
        <v>45559</v>
      </c>
      <c r="C315" s="4" t="s">
        <v>46</v>
      </c>
      <c r="D315" s="4" t="s">
        <v>40</v>
      </c>
      <c r="E315" s="4" t="s">
        <v>88</v>
      </c>
      <c r="F315" s="4" t="s">
        <v>52</v>
      </c>
      <c r="G315" s="4" t="s">
        <v>21</v>
      </c>
      <c r="H315" s="14">
        <v>3.9</v>
      </c>
      <c r="I315" s="2" t="str">
        <f t="shared" si="25"/>
        <v>Moderate Risk</v>
      </c>
      <c r="J315" s="4">
        <v>74.3</v>
      </c>
      <c r="K315" s="2" t="str">
        <f t="shared" si="28"/>
        <v>High Confidence</v>
      </c>
      <c r="L315" s="4" t="s">
        <v>22</v>
      </c>
      <c r="M315" s="2" t="str">
        <f t="shared" si="26"/>
        <v>Human Content</v>
      </c>
      <c r="N315" s="4">
        <v>0.20799999999999999</v>
      </c>
      <c r="O315" s="4" t="s">
        <v>22</v>
      </c>
      <c r="P315" s="4">
        <v>2773404</v>
      </c>
      <c r="Q315" s="2" t="str">
        <f t="shared" si="29"/>
        <v>Medium</v>
      </c>
      <c r="R315" s="4">
        <v>7869191</v>
      </c>
      <c r="S315" s="2" t="str">
        <f t="shared" si="27"/>
        <v>Highly Viral</v>
      </c>
      <c r="T315" s="4" t="s">
        <v>61</v>
      </c>
      <c r="U315" s="3" t="s">
        <v>25</v>
      </c>
    </row>
    <row r="316" spans="1:21" x14ac:dyDescent="0.3">
      <c r="A316" s="2" t="s">
        <v>376</v>
      </c>
      <c r="B316" s="8">
        <v>45298</v>
      </c>
      <c r="C316" s="2" t="s">
        <v>17</v>
      </c>
      <c r="D316" s="2" t="s">
        <v>18</v>
      </c>
      <c r="E316" s="2" t="s">
        <v>71</v>
      </c>
      <c r="F316" s="2" t="s">
        <v>20</v>
      </c>
      <c r="G316" s="2" t="s">
        <v>67</v>
      </c>
      <c r="H316" s="13">
        <v>78</v>
      </c>
      <c r="I316" s="2" t="str">
        <f t="shared" si="25"/>
        <v>High Risk</v>
      </c>
      <c r="J316" s="2">
        <v>53.7</v>
      </c>
      <c r="K316" s="2" t="str">
        <f t="shared" si="28"/>
        <v>Moderate Confidence</v>
      </c>
      <c r="L316" s="2" t="s">
        <v>30</v>
      </c>
      <c r="M316" s="2" t="str">
        <f t="shared" si="26"/>
        <v>AI Generated</v>
      </c>
      <c r="N316" s="2">
        <v>0.72399999999999998</v>
      </c>
      <c r="O316" s="2" t="s">
        <v>22</v>
      </c>
      <c r="P316" s="2">
        <v>1939213</v>
      </c>
      <c r="Q316" s="2" t="str">
        <f t="shared" si="29"/>
        <v>Medium</v>
      </c>
      <c r="R316" s="2">
        <v>15326528</v>
      </c>
      <c r="S316" s="2" t="str">
        <f t="shared" si="27"/>
        <v>Highly Viral</v>
      </c>
      <c r="T316" s="2" t="s">
        <v>56</v>
      </c>
      <c r="U316" s="6" t="s">
        <v>48</v>
      </c>
    </row>
    <row r="317" spans="1:21" x14ac:dyDescent="0.3">
      <c r="A317" s="4" t="s">
        <v>377</v>
      </c>
      <c r="B317" s="9">
        <v>45427</v>
      </c>
      <c r="C317" s="4" t="s">
        <v>54</v>
      </c>
      <c r="D317" s="4" t="s">
        <v>18</v>
      </c>
      <c r="E317" s="4" t="s">
        <v>73</v>
      </c>
      <c r="F317" s="4" t="s">
        <v>20</v>
      </c>
      <c r="G317" s="4" t="s">
        <v>74</v>
      </c>
      <c r="H317" s="14">
        <v>3.9</v>
      </c>
      <c r="I317" s="2" t="str">
        <f t="shared" si="25"/>
        <v>Moderate Risk</v>
      </c>
      <c r="J317" s="4">
        <v>64.2</v>
      </c>
      <c r="K317" s="2" t="str">
        <f t="shared" si="28"/>
        <v>Moderate Confidence</v>
      </c>
      <c r="L317" s="4" t="s">
        <v>22</v>
      </c>
      <c r="M317" s="2" t="str">
        <f t="shared" si="26"/>
        <v>Human Content</v>
      </c>
      <c r="N317" s="4">
        <v>0.80200000000000005</v>
      </c>
      <c r="O317" s="4" t="s">
        <v>22</v>
      </c>
      <c r="P317" s="4">
        <v>3573606</v>
      </c>
      <c r="Q317" s="2" t="str">
        <f t="shared" si="29"/>
        <v>Medium</v>
      </c>
      <c r="R317" s="4">
        <v>3889494</v>
      </c>
      <c r="S317" s="2" t="str">
        <f t="shared" si="27"/>
        <v>Moderately Viral</v>
      </c>
      <c r="T317" s="4" t="s">
        <v>61</v>
      </c>
      <c r="U317" s="3" t="s">
        <v>25</v>
      </c>
    </row>
    <row r="318" spans="1:21" x14ac:dyDescent="0.3">
      <c r="A318" s="2" t="s">
        <v>378</v>
      </c>
      <c r="B318" s="8">
        <v>45315</v>
      </c>
      <c r="C318" s="2" t="s">
        <v>27</v>
      </c>
      <c r="D318" s="2" t="s">
        <v>50</v>
      </c>
      <c r="E318" s="2" t="s">
        <v>35</v>
      </c>
      <c r="F318" s="2" t="s">
        <v>52</v>
      </c>
      <c r="G318" s="2" t="s">
        <v>64</v>
      </c>
      <c r="H318" s="13">
        <v>89.5</v>
      </c>
      <c r="I318" s="2" t="str">
        <f t="shared" si="25"/>
        <v>High Risk</v>
      </c>
      <c r="J318" s="2">
        <v>96.8</v>
      </c>
      <c r="K318" s="2" t="str">
        <f t="shared" si="28"/>
        <v>High Confidence</v>
      </c>
      <c r="L318" s="2" t="s">
        <v>30</v>
      </c>
      <c r="M318" s="2" t="str">
        <f t="shared" si="26"/>
        <v>AI Generated</v>
      </c>
      <c r="N318" s="2">
        <v>0.26800000000000002</v>
      </c>
      <c r="O318" s="2" t="s">
        <v>23</v>
      </c>
      <c r="P318" s="2">
        <v>779832</v>
      </c>
      <c r="Q318" s="2" t="str">
        <f t="shared" si="29"/>
        <v>Low</v>
      </c>
      <c r="R318" s="2">
        <v>12503624</v>
      </c>
      <c r="S318" s="2" t="str">
        <f t="shared" si="27"/>
        <v>Highly Viral</v>
      </c>
      <c r="T318" s="2" t="s">
        <v>56</v>
      </c>
      <c r="U318" s="6" t="s">
        <v>48</v>
      </c>
    </row>
    <row r="319" spans="1:21" x14ac:dyDescent="0.3">
      <c r="A319" s="4" t="s">
        <v>379</v>
      </c>
      <c r="B319" s="9">
        <v>45385</v>
      </c>
      <c r="C319" s="4" t="s">
        <v>17</v>
      </c>
      <c r="D319" s="4" t="s">
        <v>55</v>
      </c>
      <c r="E319" s="4" t="s">
        <v>88</v>
      </c>
      <c r="F319" s="4" t="s">
        <v>76</v>
      </c>
      <c r="G319" s="4" t="s">
        <v>64</v>
      </c>
      <c r="H319" s="14">
        <v>83.6</v>
      </c>
      <c r="I319" s="2" t="str">
        <f t="shared" si="25"/>
        <v>High Risk</v>
      </c>
      <c r="J319" s="4">
        <v>83.8</v>
      </c>
      <c r="K319" s="2" t="str">
        <f t="shared" si="28"/>
        <v>High Confidence</v>
      </c>
      <c r="L319" s="4" t="s">
        <v>30</v>
      </c>
      <c r="M319" s="2" t="str">
        <f t="shared" si="26"/>
        <v>AI Generated</v>
      </c>
      <c r="N319" s="4">
        <v>0.47799999999999998</v>
      </c>
      <c r="O319" s="4" t="s">
        <v>22</v>
      </c>
      <c r="P319" s="4">
        <v>1399141</v>
      </c>
      <c r="Q319" s="2" t="str">
        <f t="shared" si="29"/>
        <v>Medium</v>
      </c>
      <c r="R319" s="4">
        <v>3794048</v>
      </c>
      <c r="S319" s="2" t="str">
        <f t="shared" si="27"/>
        <v>Moderately Viral</v>
      </c>
      <c r="T319" s="4" t="s">
        <v>31</v>
      </c>
      <c r="U319" s="6" t="s">
        <v>48</v>
      </c>
    </row>
    <row r="320" spans="1:21" x14ac:dyDescent="0.3">
      <c r="A320" s="2" t="s">
        <v>380</v>
      </c>
      <c r="B320" s="8">
        <v>45648</v>
      </c>
      <c r="C320" s="2" t="s">
        <v>27</v>
      </c>
      <c r="D320" s="2" t="s">
        <v>50</v>
      </c>
      <c r="E320" s="2" t="s">
        <v>73</v>
      </c>
      <c r="F320" s="2" t="s">
        <v>76</v>
      </c>
      <c r="G320" s="2" t="s">
        <v>29</v>
      </c>
      <c r="H320" s="13">
        <v>48.3</v>
      </c>
      <c r="I320" s="2" t="str">
        <f t="shared" si="25"/>
        <v>Moderate Risk</v>
      </c>
      <c r="J320" s="2">
        <v>77.900000000000006</v>
      </c>
      <c r="K320" s="2" t="str">
        <f t="shared" si="28"/>
        <v>High Confidence</v>
      </c>
      <c r="L320" s="2" t="s">
        <v>43</v>
      </c>
      <c r="M320" s="2" t="str">
        <f t="shared" si="26"/>
        <v>Human Content</v>
      </c>
      <c r="N320" s="2">
        <v>0.438</v>
      </c>
      <c r="O320" s="2" t="s">
        <v>23</v>
      </c>
      <c r="P320" s="2">
        <v>3185680</v>
      </c>
      <c r="Q320" s="2" t="str">
        <f t="shared" si="29"/>
        <v>Medium</v>
      </c>
      <c r="R320" s="2">
        <v>12033082</v>
      </c>
      <c r="S320" s="2" t="str">
        <f t="shared" si="27"/>
        <v>Highly Viral</v>
      </c>
      <c r="T320" s="2" t="s">
        <v>44</v>
      </c>
      <c r="U320" s="5" t="s">
        <v>32</v>
      </c>
    </row>
    <row r="321" spans="1:21" x14ac:dyDescent="0.3">
      <c r="A321" s="4" t="s">
        <v>381</v>
      </c>
      <c r="B321" s="9">
        <v>45306</v>
      </c>
      <c r="C321" s="4" t="s">
        <v>69</v>
      </c>
      <c r="D321" s="4" t="s">
        <v>55</v>
      </c>
      <c r="E321" s="4" t="s">
        <v>71</v>
      </c>
      <c r="F321" s="4" t="s">
        <v>41</v>
      </c>
      <c r="G321" s="4" t="s">
        <v>37</v>
      </c>
      <c r="H321" s="14">
        <v>44.1</v>
      </c>
      <c r="I321" s="2" t="str">
        <f t="shared" si="25"/>
        <v>Moderate Risk</v>
      </c>
      <c r="J321" s="4">
        <v>53.1</v>
      </c>
      <c r="K321" s="2" t="str">
        <f t="shared" si="28"/>
        <v>Moderate Confidence</v>
      </c>
      <c r="L321" s="4" t="s">
        <v>43</v>
      </c>
      <c r="M321" s="2" t="str">
        <f t="shared" si="26"/>
        <v>Human Content</v>
      </c>
      <c r="N321" s="4">
        <v>0.65500000000000003</v>
      </c>
      <c r="O321" s="4" t="s">
        <v>30</v>
      </c>
      <c r="P321" s="4">
        <v>4402591</v>
      </c>
      <c r="Q321" s="2" t="str">
        <f t="shared" si="29"/>
        <v>High</v>
      </c>
      <c r="R321" s="4">
        <v>19349629</v>
      </c>
      <c r="S321" s="2" t="str">
        <f t="shared" si="27"/>
        <v>Highly Viral</v>
      </c>
      <c r="T321" s="4" t="s">
        <v>44</v>
      </c>
      <c r="U321" s="5" t="s">
        <v>32</v>
      </c>
    </row>
    <row r="322" spans="1:21" x14ac:dyDescent="0.3">
      <c r="A322" s="2" t="s">
        <v>382</v>
      </c>
      <c r="B322" s="8">
        <v>45406</v>
      </c>
      <c r="C322" s="2" t="s">
        <v>39</v>
      </c>
      <c r="D322" s="2" t="s">
        <v>60</v>
      </c>
      <c r="E322" s="2" t="s">
        <v>73</v>
      </c>
      <c r="F322" s="2" t="s">
        <v>76</v>
      </c>
      <c r="G322" s="2" t="s">
        <v>42</v>
      </c>
      <c r="H322" s="13">
        <v>72.7</v>
      </c>
      <c r="I322" s="2" t="str">
        <f t="shared" si="25"/>
        <v>High Risk</v>
      </c>
      <c r="J322" s="2">
        <v>73.599999999999994</v>
      </c>
      <c r="K322" s="2" t="str">
        <f t="shared" si="28"/>
        <v>High Confidence</v>
      </c>
      <c r="L322" s="2" t="s">
        <v>30</v>
      </c>
      <c r="M322" s="2" t="str">
        <f t="shared" si="26"/>
        <v>AI Generated</v>
      </c>
      <c r="N322" s="2">
        <v>0.66400000000000003</v>
      </c>
      <c r="O322" s="2" t="s">
        <v>23</v>
      </c>
      <c r="P322" s="2">
        <v>3228679</v>
      </c>
      <c r="Q322" s="2" t="str">
        <f t="shared" si="29"/>
        <v>Medium</v>
      </c>
      <c r="R322" s="2">
        <v>4988515</v>
      </c>
      <c r="S322" s="2" t="str">
        <f t="shared" si="27"/>
        <v>Moderately Viral</v>
      </c>
      <c r="T322" s="2" t="s">
        <v>44</v>
      </c>
      <c r="U322" s="6" t="s">
        <v>48</v>
      </c>
    </row>
    <row r="323" spans="1:21" x14ac:dyDescent="0.3">
      <c r="A323" s="4" t="s">
        <v>383</v>
      </c>
      <c r="B323" s="9">
        <v>45605</v>
      </c>
      <c r="C323" s="4" t="s">
        <v>27</v>
      </c>
      <c r="D323" s="4" t="s">
        <v>18</v>
      </c>
      <c r="E323" s="4" t="s">
        <v>35</v>
      </c>
      <c r="F323" s="4" t="s">
        <v>58</v>
      </c>
      <c r="G323" s="4" t="s">
        <v>74</v>
      </c>
      <c r="H323" s="14">
        <v>46.9</v>
      </c>
      <c r="I323" s="2" t="str">
        <f t="shared" ref="I323:I386" si="30">IF(H323&gt;60,"High Risk",IF(H323&lt;60,"Moderate Risk"))</f>
        <v>Moderate Risk</v>
      </c>
      <c r="J323" s="4">
        <v>74.3</v>
      </c>
      <c r="K323" s="2" t="str">
        <f t="shared" si="28"/>
        <v>High Confidence</v>
      </c>
      <c r="L323" s="4" t="s">
        <v>43</v>
      </c>
      <c r="M323" s="2" t="str">
        <f t="shared" ref="M323:M386" si="31">IF(L323="Yes","AI Generated","Human Content")</f>
        <v>Human Content</v>
      </c>
      <c r="N323" s="4">
        <v>0.16500000000000001</v>
      </c>
      <c r="O323" s="4" t="s">
        <v>22</v>
      </c>
      <c r="P323" s="4">
        <v>2689771</v>
      </c>
      <c r="Q323" s="2" t="str">
        <f t="shared" si="29"/>
        <v>Medium</v>
      </c>
      <c r="R323" s="4">
        <v>8083488</v>
      </c>
      <c r="S323" s="2" t="str">
        <f t="shared" si="27"/>
        <v>Highly Viral</v>
      </c>
      <c r="T323" s="4" t="s">
        <v>56</v>
      </c>
      <c r="U323" s="5" t="s">
        <v>32</v>
      </c>
    </row>
    <row r="324" spans="1:21" x14ac:dyDescent="0.3">
      <c r="A324" s="2" t="s">
        <v>384</v>
      </c>
      <c r="B324" s="8">
        <v>45434</v>
      </c>
      <c r="C324" s="2" t="s">
        <v>27</v>
      </c>
      <c r="D324" s="2" t="s">
        <v>60</v>
      </c>
      <c r="E324" s="2" t="s">
        <v>28</v>
      </c>
      <c r="F324" s="2" t="s">
        <v>58</v>
      </c>
      <c r="G324" s="2" t="s">
        <v>42</v>
      </c>
      <c r="H324" s="13">
        <v>37.9</v>
      </c>
      <c r="I324" s="2" t="str">
        <f t="shared" si="30"/>
        <v>Moderate Risk</v>
      </c>
      <c r="J324" s="2">
        <v>90</v>
      </c>
      <c r="K324" s="2" t="str">
        <f t="shared" si="28"/>
        <v>High Confidence</v>
      </c>
      <c r="L324" s="2" t="s">
        <v>43</v>
      </c>
      <c r="M324" s="2" t="str">
        <f t="shared" si="31"/>
        <v>Human Content</v>
      </c>
      <c r="N324" s="2">
        <v>7.9000000000000001E-2</v>
      </c>
      <c r="O324" s="2" t="s">
        <v>22</v>
      </c>
      <c r="P324" s="2">
        <v>4807065</v>
      </c>
      <c r="Q324" s="2" t="str">
        <f t="shared" si="29"/>
        <v>High</v>
      </c>
      <c r="R324" s="2">
        <v>15036193</v>
      </c>
      <c r="S324" s="2" t="str">
        <f t="shared" si="27"/>
        <v>Highly Viral</v>
      </c>
      <c r="T324" s="2" t="s">
        <v>61</v>
      </c>
      <c r="U324" s="5" t="s">
        <v>32</v>
      </c>
    </row>
    <row r="325" spans="1:21" x14ac:dyDescent="0.3">
      <c r="A325" s="4" t="s">
        <v>385</v>
      </c>
      <c r="B325" s="9">
        <v>45547</v>
      </c>
      <c r="C325" s="4" t="s">
        <v>54</v>
      </c>
      <c r="D325" s="4" t="s">
        <v>40</v>
      </c>
      <c r="E325" s="4" t="s">
        <v>73</v>
      </c>
      <c r="F325" s="4" t="s">
        <v>76</v>
      </c>
      <c r="G325" s="4" t="s">
        <v>42</v>
      </c>
      <c r="H325" s="14">
        <v>65.3</v>
      </c>
      <c r="I325" s="2" t="str">
        <f t="shared" si="30"/>
        <v>High Risk</v>
      </c>
      <c r="J325" s="4">
        <v>55</v>
      </c>
      <c r="K325" s="2" t="str">
        <f t="shared" si="28"/>
        <v>Moderate Confidence</v>
      </c>
      <c r="L325" s="4" t="s">
        <v>30</v>
      </c>
      <c r="M325" s="2" t="str">
        <f t="shared" si="31"/>
        <v>AI Generated</v>
      </c>
      <c r="N325" s="4">
        <v>0.41199999999999998</v>
      </c>
      <c r="O325" s="4" t="s">
        <v>23</v>
      </c>
      <c r="P325" s="4">
        <v>4606274</v>
      </c>
      <c r="Q325" s="2" t="str">
        <f t="shared" si="29"/>
        <v>High</v>
      </c>
      <c r="R325" s="4">
        <v>6194</v>
      </c>
      <c r="S325" s="2" t="str">
        <f t="shared" ref="S325:S388" si="32">IF(R325&gt;5000000,"Highly Viral",IF(R325&gt;1000000,"Moderately Viral",IF(R325&lt;500000,"Low Viral")))</f>
        <v>Low Viral</v>
      </c>
      <c r="T325" s="4" t="s">
        <v>61</v>
      </c>
      <c r="U325" s="6" t="s">
        <v>48</v>
      </c>
    </row>
    <row r="326" spans="1:21" x14ac:dyDescent="0.3">
      <c r="A326" s="2" t="s">
        <v>386</v>
      </c>
      <c r="B326" s="8">
        <v>45601</v>
      </c>
      <c r="C326" s="2" t="s">
        <v>34</v>
      </c>
      <c r="D326" s="2" t="s">
        <v>60</v>
      </c>
      <c r="E326" s="2" t="s">
        <v>28</v>
      </c>
      <c r="F326" s="2" t="s">
        <v>36</v>
      </c>
      <c r="G326" s="2" t="s">
        <v>42</v>
      </c>
      <c r="H326" s="13">
        <v>45.6</v>
      </c>
      <c r="I326" s="2" t="str">
        <f t="shared" si="30"/>
        <v>Moderate Risk</v>
      </c>
      <c r="J326" s="2">
        <v>66.7</v>
      </c>
      <c r="K326" s="2" t="str">
        <f t="shared" si="28"/>
        <v>Moderate Confidence</v>
      </c>
      <c r="L326" s="2" t="s">
        <v>43</v>
      </c>
      <c r="M326" s="2" t="str">
        <f t="shared" si="31"/>
        <v>Human Content</v>
      </c>
      <c r="N326" s="2">
        <v>0.82499999999999996</v>
      </c>
      <c r="O326" s="2" t="s">
        <v>30</v>
      </c>
      <c r="P326" s="2">
        <v>3812386</v>
      </c>
      <c r="Q326" s="2" t="str">
        <f t="shared" si="29"/>
        <v>Medium</v>
      </c>
      <c r="R326" s="2">
        <v>11139652</v>
      </c>
      <c r="S326" s="2" t="str">
        <f t="shared" si="32"/>
        <v>Highly Viral</v>
      </c>
      <c r="T326" s="2" t="s">
        <v>44</v>
      </c>
      <c r="U326" s="5" t="s">
        <v>32</v>
      </c>
    </row>
    <row r="327" spans="1:21" x14ac:dyDescent="0.3">
      <c r="A327" s="4" t="s">
        <v>387</v>
      </c>
      <c r="B327" s="9">
        <v>45609</v>
      </c>
      <c r="C327" s="4" t="s">
        <v>54</v>
      </c>
      <c r="D327" s="4" t="s">
        <v>40</v>
      </c>
      <c r="E327" s="4" t="s">
        <v>71</v>
      </c>
      <c r="F327" s="4" t="s">
        <v>41</v>
      </c>
      <c r="G327" s="4" t="s">
        <v>67</v>
      </c>
      <c r="H327" s="14">
        <v>75.900000000000006</v>
      </c>
      <c r="I327" s="2" t="str">
        <f t="shared" si="30"/>
        <v>High Risk</v>
      </c>
      <c r="J327" s="4">
        <v>60.9</v>
      </c>
      <c r="K327" s="2" t="str">
        <f t="shared" si="28"/>
        <v>Moderate Confidence</v>
      </c>
      <c r="L327" s="4" t="s">
        <v>30</v>
      </c>
      <c r="M327" s="2" t="str">
        <f t="shared" si="31"/>
        <v>AI Generated</v>
      </c>
      <c r="N327" s="4">
        <v>0.34100000000000003</v>
      </c>
      <c r="O327" s="4" t="s">
        <v>23</v>
      </c>
      <c r="P327" s="4">
        <v>2449435</v>
      </c>
      <c r="Q327" s="2" t="str">
        <f t="shared" si="29"/>
        <v>Medium</v>
      </c>
      <c r="R327" s="4">
        <v>18377946</v>
      </c>
      <c r="S327" s="2" t="str">
        <f t="shared" si="32"/>
        <v>Highly Viral</v>
      </c>
      <c r="T327" s="4" t="s">
        <v>44</v>
      </c>
      <c r="U327" s="6" t="s">
        <v>48</v>
      </c>
    </row>
    <row r="328" spans="1:21" x14ac:dyDescent="0.3">
      <c r="A328" s="2" t="s">
        <v>388</v>
      </c>
      <c r="B328" s="8">
        <v>45483</v>
      </c>
      <c r="C328" s="2" t="s">
        <v>17</v>
      </c>
      <c r="D328" s="2" t="s">
        <v>18</v>
      </c>
      <c r="E328" s="2" t="s">
        <v>35</v>
      </c>
      <c r="F328" s="2" t="s">
        <v>76</v>
      </c>
      <c r="G328" s="2" t="s">
        <v>21</v>
      </c>
      <c r="H328" s="13">
        <v>82.2</v>
      </c>
      <c r="I328" s="2" t="str">
        <f t="shared" si="30"/>
        <v>High Risk</v>
      </c>
      <c r="J328" s="2">
        <v>86.4</v>
      </c>
      <c r="K328" s="2" t="str">
        <f t="shared" si="28"/>
        <v>High Confidence</v>
      </c>
      <c r="L328" s="2" t="s">
        <v>30</v>
      </c>
      <c r="M328" s="2" t="str">
        <f t="shared" si="31"/>
        <v>AI Generated</v>
      </c>
      <c r="N328" s="2">
        <v>0.40899999999999997</v>
      </c>
      <c r="O328" s="2" t="s">
        <v>22</v>
      </c>
      <c r="P328" s="2">
        <v>1643608</v>
      </c>
      <c r="Q328" s="2" t="str">
        <f t="shared" si="29"/>
        <v>Medium</v>
      </c>
      <c r="R328" s="2">
        <v>6293412</v>
      </c>
      <c r="S328" s="2" t="str">
        <f t="shared" si="32"/>
        <v>Highly Viral</v>
      </c>
      <c r="T328" s="2" t="s">
        <v>61</v>
      </c>
      <c r="U328" s="6" t="s">
        <v>48</v>
      </c>
    </row>
    <row r="329" spans="1:21" x14ac:dyDescent="0.3">
      <c r="A329" s="4" t="s">
        <v>389</v>
      </c>
      <c r="B329" s="9">
        <v>45493</v>
      </c>
      <c r="C329" s="4" t="s">
        <v>46</v>
      </c>
      <c r="D329" s="4" t="s">
        <v>55</v>
      </c>
      <c r="E329" s="4" t="s">
        <v>28</v>
      </c>
      <c r="F329" s="4" t="s">
        <v>36</v>
      </c>
      <c r="G329" s="4" t="s">
        <v>64</v>
      </c>
      <c r="H329" s="14">
        <v>10.8</v>
      </c>
      <c r="I329" s="2" t="str">
        <f t="shared" si="30"/>
        <v>Moderate Risk</v>
      </c>
      <c r="J329" s="4">
        <v>70.3</v>
      </c>
      <c r="K329" s="2" t="str">
        <f t="shared" si="28"/>
        <v>High Confidence</v>
      </c>
      <c r="L329" s="4" t="s">
        <v>22</v>
      </c>
      <c r="M329" s="2" t="str">
        <f t="shared" si="31"/>
        <v>Human Content</v>
      </c>
      <c r="N329" s="4">
        <v>0.92700000000000005</v>
      </c>
      <c r="O329" s="4" t="s">
        <v>23</v>
      </c>
      <c r="P329" s="4">
        <v>4939405</v>
      </c>
      <c r="Q329" s="2" t="str">
        <f t="shared" si="29"/>
        <v>High</v>
      </c>
      <c r="R329" s="4">
        <v>4135049</v>
      </c>
      <c r="S329" s="2" t="str">
        <f t="shared" si="32"/>
        <v>Moderately Viral</v>
      </c>
      <c r="T329" s="4" t="s">
        <v>24</v>
      </c>
      <c r="U329" s="3" t="s">
        <v>25</v>
      </c>
    </row>
    <row r="330" spans="1:21" x14ac:dyDescent="0.3">
      <c r="A330" s="2" t="s">
        <v>390</v>
      </c>
      <c r="B330" s="8">
        <v>45526</v>
      </c>
      <c r="C330" s="2" t="s">
        <v>69</v>
      </c>
      <c r="D330" s="2" t="s">
        <v>55</v>
      </c>
      <c r="E330" s="2" t="s">
        <v>47</v>
      </c>
      <c r="F330" s="2" t="s">
        <v>58</v>
      </c>
      <c r="G330" s="2" t="s">
        <v>42</v>
      </c>
      <c r="H330" s="13">
        <v>4.9000000000000004</v>
      </c>
      <c r="I330" s="2" t="str">
        <f t="shared" si="30"/>
        <v>Moderate Risk</v>
      </c>
      <c r="J330" s="2">
        <v>95.8</v>
      </c>
      <c r="K330" s="2" t="str">
        <f t="shared" si="28"/>
        <v>High Confidence</v>
      </c>
      <c r="L330" s="2" t="s">
        <v>22</v>
      </c>
      <c r="M330" s="2" t="str">
        <f t="shared" si="31"/>
        <v>Human Content</v>
      </c>
      <c r="N330" s="2">
        <v>0.83899999999999997</v>
      </c>
      <c r="O330" s="2" t="s">
        <v>22</v>
      </c>
      <c r="P330" s="2">
        <v>4264305</v>
      </c>
      <c r="Q330" s="2" t="str">
        <f t="shared" si="29"/>
        <v>High</v>
      </c>
      <c r="R330" s="2">
        <v>5946427</v>
      </c>
      <c r="S330" s="2" t="str">
        <f t="shared" si="32"/>
        <v>Highly Viral</v>
      </c>
      <c r="T330" s="2" t="s">
        <v>44</v>
      </c>
      <c r="U330" s="3" t="s">
        <v>25</v>
      </c>
    </row>
    <row r="331" spans="1:21" x14ac:dyDescent="0.3">
      <c r="A331" s="4" t="s">
        <v>391</v>
      </c>
      <c r="B331" s="9">
        <v>45380</v>
      </c>
      <c r="C331" s="4" t="s">
        <v>69</v>
      </c>
      <c r="D331" s="4" t="s">
        <v>18</v>
      </c>
      <c r="E331" s="4" t="s">
        <v>88</v>
      </c>
      <c r="F331" s="4" t="s">
        <v>36</v>
      </c>
      <c r="G331" s="4" t="s">
        <v>29</v>
      </c>
      <c r="H331" s="14">
        <v>60.6</v>
      </c>
      <c r="I331" s="2" t="str">
        <f t="shared" si="30"/>
        <v>High Risk</v>
      </c>
      <c r="J331" s="4">
        <v>65.8</v>
      </c>
      <c r="K331" s="2" t="str">
        <f t="shared" si="28"/>
        <v>Moderate Confidence</v>
      </c>
      <c r="L331" s="4" t="s">
        <v>30</v>
      </c>
      <c r="M331" s="2" t="str">
        <f t="shared" si="31"/>
        <v>AI Generated</v>
      </c>
      <c r="N331" s="4">
        <v>0.88100000000000001</v>
      </c>
      <c r="O331" s="4" t="s">
        <v>22</v>
      </c>
      <c r="P331" s="4">
        <v>2082477</v>
      </c>
      <c r="Q331" s="2" t="str">
        <f t="shared" si="29"/>
        <v>Medium</v>
      </c>
      <c r="R331" s="4">
        <v>9180854</v>
      </c>
      <c r="S331" s="2" t="str">
        <f t="shared" si="32"/>
        <v>Highly Viral</v>
      </c>
      <c r="T331" s="4" t="s">
        <v>24</v>
      </c>
      <c r="U331" s="5" t="s">
        <v>32</v>
      </c>
    </row>
    <row r="332" spans="1:21" x14ac:dyDescent="0.3">
      <c r="A332" s="2" t="s">
        <v>392</v>
      </c>
      <c r="B332" s="8">
        <v>45467</v>
      </c>
      <c r="C332" s="2" t="s">
        <v>34</v>
      </c>
      <c r="D332" s="2" t="s">
        <v>55</v>
      </c>
      <c r="E332" s="2" t="s">
        <v>35</v>
      </c>
      <c r="F332" s="2" t="s">
        <v>20</v>
      </c>
      <c r="G332" s="2" t="s">
        <v>37</v>
      </c>
      <c r="H332" s="13">
        <v>60.3</v>
      </c>
      <c r="I332" s="2" t="str">
        <f t="shared" si="30"/>
        <v>High Risk</v>
      </c>
      <c r="J332" s="2">
        <v>93.4</v>
      </c>
      <c r="K332" s="2" t="str">
        <f t="shared" si="28"/>
        <v>High Confidence</v>
      </c>
      <c r="L332" s="2" t="s">
        <v>30</v>
      </c>
      <c r="M332" s="2" t="str">
        <f t="shared" si="31"/>
        <v>AI Generated</v>
      </c>
      <c r="N332" s="2">
        <v>0.51200000000000001</v>
      </c>
      <c r="O332" s="2" t="s">
        <v>23</v>
      </c>
      <c r="P332" s="2">
        <v>4595429</v>
      </c>
      <c r="Q332" s="2" t="str">
        <f t="shared" si="29"/>
        <v>High</v>
      </c>
      <c r="R332" s="2">
        <v>10533598</v>
      </c>
      <c r="S332" s="2" t="str">
        <f t="shared" si="32"/>
        <v>Highly Viral</v>
      </c>
      <c r="T332" s="2" t="s">
        <v>44</v>
      </c>
      <c r="U332" s="5" t="s">
        <v>32</v>
      </c>
    </row>
    <row r="333" spans="1:21" x14ac:dyDescent="0.3">
      <c r="A333" s="4" t="s">
        <v>393</v>
      </c>
      <c r="B333" s="9">
        <v>45615</v>
      </c>
      <c r="C333" s="4" t="s">
        <v>46</v>
      </c>
      <c r="D333" s="4" t="s">
        <v>50</v>
      </c>
      <c r="E333" s="4" t="s">
        <v>28</v>
      </c>
      <c r="F333" s="4" t="s">
        <v>58</v>
      </c>
      <c r="G333" s="4" t="s">
        <v>42</v>
      </c>
      <c r="H333" s="14">
        <v>29.1</v>
      </c>
      <c r="I333" s="2" t="str">
        <f t="shared" si="30"/>
        <v>Moderate Risk</v>
      </c>
      <c r="J333" s="4">
        <v>66.900000000000006</v>
      </c>
      <c r="K333" s="2" t="str">
        <f t="shared" si="28"/>
        <v>Moderate Confidence</v>
      </c>
      <c r="L333" s="4" t="s">
        <v>22</v>
      </c>
      <c r="M333" s="2" t="str">
        <f t="shared" si="31"/>
        <v>Human Content</v>
      </c>
      <c r="N333" s="4">
        <v>0.67200000000000004</v>
      </c>
      <c r="O333" s="4" t="s">
        <v>23</v>
      </c>
      <c r="P333" s="4">
        <v>1491701</v>
      </c>
      <c r="Q333" s="2" t="str">
        <f t="shared" si="29"/>
        <v>Medium</v>
      </c>
      <c r="R333" s="4">
        <v>16908358</v>
      </c>
      <c r="S333" s="2" t="str">
        <f t="shared" si="32"/>
        <v>Highly Viral</v>
      </c>
      <c r="T333" s="4" t="s">
        <v>44</v>
      </c>
      <c r="U333" s="3" t="s">
        <v>25</v>
      </c>
    </row>
    <row r="334" spans="1:21" x14ac:dyDescent="0.3">
      <c r="A334" s="2" t="s">
        <v>394</v>
      </c>
      <c r="B334" s="8">
        <v>45647</v>
      </c>
      <c r="C334" s="2" t="s">
        <v>39</v>
      </c>
      <c r="D334" s="2" t="s">
        <v>18</v>
      </c>
      <c r="E334" s="2" t="s">
        <v>51</v>
      </c>
      <c r="F334" s="2" t="s">
        <v>58</v>
      </c>
      <c r="G334" s="2" t="s">
        <v>37</v>
      </c>
      <c r="H334" s="13">
        <v>58.3</v>
      </c>
      <c r="I334" s="2" t="str">
        <f t="shared" si="30"/>
        <v>Moderate Risk</v>
      </c>
      <c r="J334" s="2">
        <v>96.2</v>
      </c>
      <c r="K334" s="2" t="str">
        <f t="shared" si="28"/>
        <v>High Confidence</v>
      </c>
      <c r="L334" s="2" t="s">
        <v>43</v>
      </c>
      <c r="M334" s="2" t="str">
        <f t="shared" si="31"/>
        <v>Human Content</v>
      </c>
      <c r="N334" s="2">
        <v>0.71</v>
      </c>
      <c r="O334" s="2" t="s">
        <v>23</v>
      </c>
      <c r="P334" s="2">
        <v>4478801</v>
      </c>
      <c r="Q334" s="2" t="str">
        <f t="shared" si="29"/>
        <v>High</v>
      </c>
      <c r="R334" s="2">
        <v>9594650</v>
      </c>
      <c r="S334" s="2" t="str">
        <f t="shared" si="32"/>
        <v>Highly Viral</v>
      </c>
      <c r="T334" s="2" t="s">
        <v>24</v>
      </c>
      <c r="U334" s="5" t="s">
        <v>32</v>
      </c>
    </row>
    <row r="335" spans="1:21" x14ac:dyDescent="0.3">
      <c r="A335" s="4" t="s">
        <v>395</v>
      </c>
      <c r="B335" s="9">
        <v>45298</v>
      </c>
      <c r="C335" s="4" t="s">
        <v>17</v>
      </c>
      <c r="D335" s="4" t="s">
        <v>18</v>
      </c>
      <c r="E335" s="4" t="s">
        <v>88</v>
      </c>
      <c r="F335" s="4" t="s">
        <v>20</v>
      </c>
      <c r="G335" s="4" t="s">
        <v>67</v>
      </c>
      <c r="H335" s="14">
        <v>67</v>
      </c>
      <c r="I335" s="2" t="str">
        <f t="shared" si="30"/>
        <v>High Risk</v>
      </c>
      <c r="J335" s="4">
        <v>59.8</v>
      </c>
      <c r="K335" s="2" t="str">
        <f t="shared" si="28"/>
        <v>Moderate Confidence</v>
      </c>
      <c r="L335" s="4" t="s">
        <v>30</v>
      </c>
      <c r="M335" s="2" t="str">
        <f t="shared" si="31"/>
        <v>AI Generated</v>
      </c>
      <c r="N335" s="4">
        <v>0.75</v>
      </c>
      <c r="O335" s="4" t="s">
        <v>30</v>
      </c>
      <c r="P335" s="4">
        <v>2404405</v>
      </c>
      <c r="Q335" s="2" t="str">
        <f t="shared" si="29"/>
        <v>Medium</v>
      </c>
      <c r="R335" s="4">
        <v>8407932</v>
      </c>
      <c r="S335" s="2" t="str">
        <f t="shared" si="32"/>
        <v>Highly Viral</v>
      </c>
      <c r="T335" s="4" t="s">
        <v>31</v>
      </c>
      <c r="U335" s="6" t="s">
        <v>48</v>
      </c>
    </row>
    <row r="336" spans="1:21" x14ac:dyDescent="0.3">
      <c r="A336" s="2" t="s">
        <v>396</v>
      </c>
      <c r="B336" s="8">
        <v>45323</v>
      </c>
      <c r="C336" s="2" t="s">
        <v>34</v>
      </c>
      <c r="D336" s="2" t="s">
        <v>50</v>
      </c>
      <c r="E336" s="2" t="s">
        <v>47</v>
      </c>
      <c r="F336" s="2" t="s">
        <v>52</v>
      </c>
      <c r="G336" s="2" t="s">
        <v>74</v>
      </c>
      <c r="H336" s="13">
        <v>45.3</v>
      </c>
      <c r="I336" s="2" t="str">
        <f t="shared" si="30"/>
        <v>Moderate Risk</v>
      </c>
      <c r="J336" s="2">
        <v>80.2</v>
      </c>
      <c r="K336" s="2" t="str">
        <f t="shared" si="28"/>
        <v>High Confidence</v>
      </c>
      <c r="L336" s="2" t="s">
        <v>43</v>
      </c>
      <c r="M336" s="2" t="str">
        <f t="shared" si="31"/>
        <v>Human Content</v>
      </c>
      <c r="N336" s="2">
        <v>0.67600000000000005</v>
      </c>
      <c r="O336" s="2" t="s">
        <v>23</v>
      </c>
      <c r="P336" s="2">
        <v>1881726</v>
      </c>
      <c r="Q336" s="2" t="str">
        <f t="shared" si="29"/>
        <v>Medium</v>
      </c>
      <c r="R336" s="2">
        <v>18833614</v>
      </c>
      <c r="S336" s="2" t="str">
        <f t="shared" si="32"/>
        <v>Highly Viral</v>
      </c>
      <c r="T336" s="2" t="s">
        <v>24</v>
      </c>
      <c r="U336" s="5" t="s">
        <v>32</v>
      </c>
    </row>
    <row r="337" spans="1:21" x14ac:dyDescent="0.3">
      <c r="A337" s="4" t="s">
        <v>397</v>
      </c>
      <c r="B337" s="9">
        <v>45413</v>
      </c>
      <c r="C337" s="4" t="s">
        <v>34</v>
      </c>
      <c r="D337" s="4" t="s">
        <v>18</v>
      </c>
      <c r="E337" s="4" t="s">
        <v>88</v>
      </c>
      <c r="F337" s="4" t="s">
        <v>76</v>
      </c>
      <c r="G337" s="4" t="s">
        <v>37</v>
      </c>
      <c r="H337" s="14">
        <v>95.7</v>
      </c>
      <c r="I337" s="2" t="str">
        <f t="shared" si="30"/>
        <v>High Risk</v>
      </c>
      <c r="J337" s="4">
        <v>97.8</v>
      </c>
      <c r="K337" s="2" t="str">
        <f t="shared" si="28"/>
        <v>High Confidence</v>
      </c>
      <c r="L337" s="4" t="s">
        <v>30</v>
      </c>
      <c r="M337" s="2" t="str">
        <f t="shared" si="31"/>
        <v>AI Generated</v>
      </c>
      <c r="N337" s="4">
        <v>0.313</v>
      </c>
      <c r="O337" s="4" t="s">
        <v>23</v>
      </c>
      <c r="P337" s="4">
        <v>451425</v>
      </c>
      <c r="Q337" s="2" t="str">
        <f t="shared" si="29"/>
        <v>Low</v>
      </c>
      <c r="R337" s="4">
        <v>435541</v>
      </c>
      <c r="S337" s="2" t="str">
        <f t="shared" si="32"/>
        <v>Low Viral</v>
      </c>
      <c r="T337" s="4" t="s">
        <v>56</v>
      </c>
      <c r="U337" s="6" t="s">
        <v>48</v>
      </c>
    </row>
    <row r="338" spans="1:21" x14ac:dyDescent="0.3">
      <c r="A338" s="2" t="s">
        <v>398</v>
      </c>
      <c r="B338" s="8">
        <v>45395</v>
      </c>
      <c r="C338" s="2" t="s">
        <v>54</v>
      </c>
      <c r="D338" s="2" t="s">
        <v>50</v>
      </c>
      <c r="E338" s="2" t="s">
        <v>51</v>
      </c>
      <c r="F338" s="2" t="s">
        <v>58</v>
      </c>
      <c r="G338" s="2" t="s">
        <v>29</v>
      </c>
      <c r="H338" s="13">
        <v>73.8</v>
      </c>
      <c r="I338" s="2" t="str">
        <f t="shared" si="30"/>
        <v>High Risk</v>
      </c>
      <c r="J338" s="2">
        <v>59.6</v>
      </c>
      <c r="K338" s="2" t="str">
        <f t="shared" si="28"/>
        <v>Moderate Confidence</v>
      </c>
      <c r="L338" s="2" t="s">
        <v>30</v>
      </c>
      <c r="M338" s="2" t="str">
        <f t="shared" si="31"/>
        <v>AI Generated</v>
      </c>
      <c r="N338" s="2">
        <v>0.72499999999999998</v>
      </c>
      <c r="O338" s="2" t="s">
        <v>30</v>
      </c>
      <c r="P338" s="2">
        <v>2467841</v>
      </c>
      <c r="Q338" s="2" t="str">
        <f t="shared" si="29"/>
        <v>Medium</v>
      </c>
      <c r="R338" s="2">
        <v>15060229</v>
      </c>
      <c r="S338" s="2" t="str">
        <f t="shared" si="32"/>
        <v>Highly Viral</v>
      </c>
      <c r="T338" s="2" t="s">
        <v>31</v>
      </c>
      <c r="U338" s="6" t="s">
        <v>48</v>
      </c>
    </row>
    <row r="339" spans="1:21" x14ac:dyDescent="0.3">
      <c r="A339" s="4" t="s">
        <v>399</v>
      </c>
      <c r="B339" s="9">
        <v>45641</v>
      </c>
      <c r="C339" s="4" t="s">
        <v>17</v>
      </c>
      <c r="D339" s="4" t="s">
        <v>50</v>
      </c>
      <c r="E339" s="4" t="s">
        <v>35</v>
      </c>
      <c r="F339" s="4" t="s">
        <v>36</v>
      </c>
      <c r="G339" s="4" t="s">
        <v>29</v>
      </c>
      <c r="H339" s="14">
        <v>11.9</v>
      </c>
      <c r="I339" s="2" t="str">
        <f t="shared" si="30"/>
        <v>Moderate Risk</v>
      </c>
      <c r="J339" s="4">
        <v>52</v>
      </c>
      <c r="K339" s="2" t="str">
        <f t="shared" si="28"/>
        <v>Moderate Confidence</v>
      </c>
      <c r="L339" s="4" t="s">
        <v>22</v>
      </c>
      <c r="M339" s="2" t="str">
        <f t="shared" si="31"/>
        <v>Human Content</v>
      </c>
      <c r="N339" s="4">
        <v>0.27900000000000003</v>
      </c>
      <c r="O339" s="4" t="s">
        <v>22</v>
      </c>
      <c r="P339" s="4">
        <v>1091177</v>
      </c>
      <c r="Q339" s="2" t="str">
        <f t="shared" si="29"/>
        <v>Medium</v>
      </c>
      <c r="R339" s="4">
        <v>5400376</v>
      </c>
      <c r="S339" s="2" t="str">
        <f t="shared" si="32"/>
        <v>Highly Viral</v>
      </c>
      <c r="T339" s="4" t="s">
        <v>44</v>
      </c>
      <c r="U339" s="3" t="s">
        <v>25</v>
      </c>
    </row>
    <row r="340" spans="1:21" x14ac:dyDescent="0.3">
      <c r="A340" s="2" t="s">
        <v>400</v>
      </c>
      <c r="B340" s="8">
        <v>45422</v>
      </c>
      <c r="C340" s="2" t="s">
        <v>27</v>
      </c>
      <c r="D340" s="2" t="s">
        <v>40</v>
      </c>
      <c r="E340" s="2" t="s">
        <v>71</v>
      </c>
      <c r="F340" s="2" t="s">
        <v>36</v>
      </c>
      <c r="G340" s="2" t="s">
        <v>21</v>
      </c>
      <c r="H340" s="13">
        <v>4</v>
      </c>
      <c r="I340" s="2" t="str">
        <f t="shared" si="30"/>
        <v>Moderate Risk</v>
      </c>
      <c r="J340" s="2">
        <v>95.5</v>
      </c>
      <c r="K340" s="2" t="str">
        <f t="shared" si="28"/>
        <v>High Confidence</v>
      </c>
      <c r="L340" s="2" t="s">
        <v>22</v>
      </c>
      <c r="M340" s="2" t="str">
        <f t="shared" si="31"/>
        <v>Human Content</v>
      </c>
      <c r="N340" s="2">
        <v>0.59699999999999998</v>
      </c>
      <c r="O340" s="2" t="s">
        <v>23</v>
      </c>
      <c r="P340" s="2">
        <v>2526369</v>
      </c>
      <c r="Q340" s="2" t="str">
        <f t="shared" si="29"/>
        <v>Medium</v>
      </c>
      <c r="R340" s="2">
        <v>16460658</v>
      </c>
      <c r="S340" s="2" t="str">
        <f t="shared" si="32"/>
        <v>Highly Viral</v>
      </c>
      <c r="T340" s="2" t="s">
        <v>44</v>
      </c>
      <c r="U340" s="3" t="s">
        <v>25</v>
      </c>
    </row>
    <row r="341" spans="1:21" x14ac:dyDescent="0.3">
      <c r="A341" s="4" t="s">
        <v>401</v>
      </c>
      <c r="B341" s="9">
        <v>45573</v>
      </c>
      <c r="C341" s="4" t="s">
        <v>39</v>
      </c>
      <c r="D341" s="4" t="s">
        <v>18</v>
      </c>
      <c r="E341" s="4" t="s">
        <v>51</v>
      </c>
      <c r="F341" s="4" t="s">
        <v>58</v>
      </c>
      <c r="G341" s="4" t="s">
        <v>21</v>
      </c>
      <c r="H341" s="14">
        <v>95.7</v>
      </c>
      <c r="I341" s="2" t="str">
        <f t="shared" si="30"/>
        <v>High Risk</v>
      </c>
      <c r="J341" s="4">
        <v>75.5</v>
      </c>
      <c r="K341" s="2" t="str">
        <f t="shared" si="28"/>
        <v>High Confidence</v>
      </c>
      <c r="L341" s="4" t="s">
        <v>30</v>
      </c>
      <c r="M341" s="2" t="str">
        <f t="shared" si="31"/>
        <v>AI Generated</v>
      </c>
      <c r="N341" s="4">
        <v>0.78600000000000003</v>
      </c>
      <c r="O341" s="4" t="s">
        <v>30</v>
      </c>
      <c r="P341" s="4">
        <v>3489184</v>
      </c>
      <c r="Q341" s="2" t="str">
        <f t="shared" si="29"/>
        <v>Medium</v>
      </c>
      <c r="R341" s="4">
        <v>18223246</v>
      </c>
      <c r="S341" s="2" t="str">
        <f t="shared" si="32"/>
        <v>Highly Viral</v>
      </c>
      <c r="T341" s="4" t="s">
        <v>44</v>
      </c>
      <c r="U341" s="6" t="s">
        <v>48</v>
      </c>
    </row>
    <row r="342" spans="1:21" x14ac:dyDescent="0.3">
      <c r="A342" s="2" t="s">
        <v>402</v>
      </c>
      <c r="B342" s="8">
        <v>45498</v>
      </c>
      <c r="C342" s="2" t="s">
        <v>17</v>
      </c>
      <c r="D342" s="2" t="s">
        <v>40</v>
      </c>
      <c r="E342" s="2" t="s">
        <v>28</v>
      </c>
      <c r="F342" s="2" t="s">
        <v>20</v>
      </c>
      <c r="G342" s="2" t="s">
        <v>42</v>
      </c>
      <c r="H342" s="13">
        <v>33.200000000000003</v>
      </c>
      <c r="I342" s="2" t="str">
        <f t="shared" si="30"/>
        <v>Moderate Risk</v>
      </c>
      <c r="J342" s="2">
        <v>67.7</v>
      </c>
      <c r="K342" s="2" t="str">
        <f t="shared" si="28"/>
        <v>Moderate Confidence</v>
      </c>
      <c r="L342" s="2" t="s">
        <v>22</v>
      </c>
      <c r="M342" s="2" t="str">
        <f t="shared" si="31"/>
        <v>Human Content</v>
      </c>
      <c r="N342" s="2">
        <v>0.218</v>
      </c>
      <c r="O342" s="2" t="s">
        <v>23</v>
      </c>
      <c r="P342" s="2">
        <v>4450247</v>
      </c>
      <c r="Q342" s="2" t="str">
        <f t="shared" si="29"/>
        <v>High</v>
      </c>
      <c r="R342" s="2">
        <v>15934063</v>
      </c>
      <c r="S342" s="2" t="str">
        <f t="shared" si="32"/>
        <v>Highly Viral</v>
      </c>
      <c r="T342" s="2" t="s">
        <v>44</v>
      </c>
      <c r="U342" s="3" t="s">
        <v>25</v>
      </c>
    </row>
    <row r="343" spans="1:21" x14ac:dyDescent="0.3">
      <c r="A343" s="4" t="s">
        <v>403</v>
      </c>
      <c r="B343" s="9">
        <v>45624</v>
      </c>
      <c r="C343" s="4" t="s">
        <v>27</v>
      </c>
      <c r="D343" s="4" t="s">
        <v>18</v>
      </c>
      <c r="E343" s="4" t="s">
        <v>51</v>
      </c>
      <c r="F343" s="4" t="s">
        <v>76</v>
      </c>
      <c r="G343" s="4" t="s">
        <v>21</v>
      </c>
      <c r="H343" s="14">
        <v>90.4</v>
      </c>
      <c r="I343" s="2" t="str">
        <f t="shared" si="30"/>
        <v>High Risk</v>
      </c>
      <c r="J343" s="4">
        <v>80.099999999999994</v>
      </c>
      <c r="K343" s="2" t="str">
        <f t="shared" si="28"/>
        <v>High Confidence</v>
      </c>
      <c r="L343" s="4" t="s">
        <v>30</v>
      </c>
      <c r="M343" s="2" t="str">
        <f t="shared" si="31"/>
        <v>AI Generated</v>
      </c>
      <c r="N343" s="4">
        <v>0.621</v>
      </c>
      <c r="O343" s="4" t="s">
        <v>30</v>
      </c>
      <c r="P343" s="4">
        <v>2692314</v>
      </c>
      <c r="Q343" s="2" t="str">
        <f t="shared" si="29"/>
        <v>Medium</v>
      </c>
      <c r="R343" s="4">
        <v>12797241</v>
      </c>
      <c r="S343" s="2" t="str">
        <f t="shared" si="32"/>
        <v>Highly Viral</v>
      </c>
      <c r="T343" s="4" t="s">
        <v>61</v>
      </c>
      <c r="U343" s="6" t="s">
        <v>48</v>
      </c>
    </row>
    <row r="344" spans="1:21" x14ac:dyDescent="0.3">
      <c r="A344" s="2" t="s">
        <v>404</v>
      </c>
      <c r="B344" s="8">
        <v>45489</v>
      </c>
      <c r="C344" s="2" t="s">
        <v>34</v>
      </c>
      <c r="D344" s="2" t="s">
        <v>60</v>
      </c>
      <c r="E344" s="2" t="s">
        <v>19</v>
      </c>
      <c r="F344" s="2" t="s">
        <v>41</v>
      </c>
      <c r="G344" s="2" t="s">
        <v>29</v>
      </c>
      <c r="H344" s="13">
        <v>82.2</v>
      </c>
      <c r="I344" s="2" t="str">
        <f t="shared" si="30"/>
        <v>High Risk</v>
      </c>
      <c r="J344" s="2">
        <v>68.400000000000006</v>
      </c>
      <c r="K344" s="2" t="str">
        <f t="shared" si="28"/>
        <v>Moderate Confidence</v>
      </c>
      <c r="L344" s="2" t="s">
        <v>30</v>
      </c>
      <c r="M344" s="2" t="str">
        <f t="shared" si="31"/>
        <v>AI Generated</v>
      </c>
      <c r="N344" s="2">
        <v>0.80300000000000005</v>
      </c>
      <c r="O344" s="2" t="s">
        <v>22</v>
      </c>
      <c r="P344" s="2">
        <v>4083713</v>
      </c>
      <c r="Q344" s="2" t="str">
        <f t="shared" si="29"/>
        <v>High</v>
      </c>
      <c r="R344" s="2">
        <v>1471917</v>
      </c>
      <c r="S344" s="2" t="str">
        <f t="shared" si="32"/>
        <v>Moderately Viral</v>
      </c>
      <c r="T344" s="2" t="s">
        <v>56</v>
      </c>
      <c r="U344" s="6" t="s">
        <v>48</v>
      </c>
    </row>
    <row r="345" spans="1:21" x14ac:dyDescent="0.3">
      <c r="A345" s="4" t="s">
        <v>405</v>
      </c>
      <c r="B345" s="9">
        <v>45625</v>
      </c>
      <c r="C345" s="4" t="s">
        <v>46</v>
      </c>
      <c r="D345" s="4" t="s">
        <v>40</v>
      </c>
      <c r="E345" s="4" t="s">
        <v>73</v>
      </c>
      <c r="F345" s="4" t="s">
        <v>41</v>
      </c>
      <c r="G345" s="4" t="s">
        <v>21</v>
      </c>
      <c r="H345" s="14">
        <v>97.2</v>
      </c>
      <c r="I345" s="2" t="str">
        <f t="shared" si="30"/>
        <v>High Risk</v>
      </c>
      <c r="J345" s="4">
        <v>87.9</v>
      </c>
      <c r="K345" s="2" t="str">
        <f t="shared" ref="K345:K408" si="33">IF(J345&gt;70,"High Confidence",IF(J345&gt;30,"Moderate Confidence",IF(J345&lt;30,"Low Confidence")))</f>
        <v>High Confidence</v>
      </c>
      <c r="L345" s="4" t="s">
        <v>30</v>
      </c>
      <c r="M345" s="2" t="str">
        <f t="shared" si="31"/>
        <v>AI Generated</v>
      </c>
      <c r="N345" s="4">
        <v>0.53300000000000003</v>
      </c>
      <c r="O345" s="4" t="s">
        <v>23</v>
      </c>
      <c r="P345" s="4">
        <v>549317</v>
      </c>
      <c r="Q345" s="2" t="str">
        <f t="shared" si="29"/>
        <v>Low</v>
      </c>
      <c r="R345" s="4">
        <v>7073152</v>
      </c>
      <c r="S345" s="2" t="str">
        <f t="shared" si="32"/>
        <v>Highly Viral</v>
      </c>
      <c r="T345" s="4" t="s">
        <v>31</v>
      </c>
      <c r="U345" s="6" t="s">
        <v>48</v>
      </c>
    </row>
    <row r="346" spans="1:21" x14ac:dyDescent="0.3">
      <c r="A346" s="2" t="s">
        <v>406</v>
      </c>
      <c r="B346" s="8">
        <v>45642</v>
      </c>
      <c r="C346" s="2" t="s">
        <v>78</v>
      </c>
      <c r="D346" s="2" t="s">
        <v>18</v>
      </c>
      <c r="E346" s="2" t="s">
        <v>28</v>
      </c>
      <c r="F346" s="2" t="s">
        <v>58</v>
      </c>
      <c r="G346" s="2" t="s">
        <v>74</v>
      </c>
      <c r="H346" s="13">
        <v>70.3</v>
      </c>
      <c r="I346" s="2" t="str">
        <f t="shared" si="30"/>
        <v>High Risk</v>
      </c>
      <c r="J346" s="2">
        <v>97.8</v>
      </c>
      <c r="K346" s="2" t="str">
        <f t="shared" si="33"/>
        <v>High Confidence</v>
      </c>
      <c r="L346" s="2" t="s">
        <v>30</v>
      </c>
      <c r="M346" s="2" t="str">
        <f t="shared" si="31"/>
        <v>AI Generated</v>
      </c>
      <c r="N346" s="2">
        <v>0.77500000000000002</v>
      </c>
      <c r="O346" s="2" t="s">
        <v>23</v>
      </c>
      <c r="P346" s="2">
        <v>605090</v>
      </c>
      <c r="Q346" s="2" t="str">
        <f t="shared" si="29"/>
        <v>Low</v>
      </c>
      <c r="R346" s="2">
        <v>5159647</v>
      </c>
      <c r="S346" s="2" t="str">
        <f t="shared" si="32"/>
        <v>Highly Viral</v>
      </c>
      <c r="T346" s="2" t="s">
        <v>61</v>
      </c>
      <c r="U346" s="6" t="s">
        <v>48</v>
      </c>
    </row>
    <row r="347" spans="1:21" x14ac:dyDescent="0.3">
      <c r="A347" s="4" t="s">
        <v>407</v>
      </c>
      <c r="B347" s="9">
        <v>45527</v>
      </c>
      <c r="C347" s="4" t="s">
        <v>39</v>
      </c>
      <c r="D347" s="4" t="s">
        <v>18</v>
      </c>
      <c r="E347" s="4" t="s">
        <v>73</v>
      </c>
      <c r="F347" s="4" t="s">
        <v>41</v>
      </c>
      <c r="G347" s="4" t="s">
        <v>67</v>
      </c>
      <c r="H347" s="14">
        <v>17.8</v>
      </c>
      <c r="I347" s="2" t="str">
        <f t="shared" si="30"/>
        <v>Moderate Risk</v>
      </c>
      <c r="J347" s="4">
        <v>62.3</v>
      </c>
      <c r="K347" s="2" t="str">
        <f t="shared" si="33"/>
        <v>Moderate Confidence</v>
      </c>
      <c r="L347" s="4" t="s">
        <v>22</v>
      </c>
      <c r="M347" s="2" t="str">
        <f t="shared" si="31"/>
        <v>Human Content</v>
      </c>
      <c r="N347" s="4">
        <v>7.0000000000000007E-2</v>
      </c>
      <c r="O347" s="4" t="s">
        <v>30</v>
      </c>
      <c r="P347" s="4">
        <v>2169796</v>
      </c>
      <c r="Q347" s="2" t="str">
        <f t="shared" si="29"/>
        <v>Medium</v>
      </c>
      <c r="R347" s="4">
        <v>13678386</v>
      </c>
      <c r="S347" s="2" t="str">
        <f t="shared" si="32"/>
        <v>Highly Viral</v>
      </c>
      <c r="T347" s="4" t="s">
        <v>24</v>
      </c>
      <c r="U347" s="3" t="s">
        <v>25</v>
      </c>
    </row>
    <row r="348" spans="1:21" x14ac:dyDescent="0.3">
      <c r="A348" s="2" t="s">
        <v>408</v>
      </c>
      <c r="B348" s="8">
        <v>45522</v>
      </c>
      <c r="C348" s="2" t="s">
        <v>78</v>
      </c>
      <c r="D348" s="2" t="s">
        <v>55</v>
      </c>
      <c r="E348" s="2" t="s">
        <v>51</v>
      </c>
      <c r="F348" s="2" t="s">
        <v>41</v>
      </c>
      <c r="G348" s="2" t="s">
        <v>37</v>
      </c>
      <c r="H348" s="13">
        <v>67.3</v>
      </c>
      <c r="I348" s="2" t="str">
        <f t="shared" si="30"/>
        <v>High Risk</v>
      </c>
      <c r="J348" s="2">
        <v>76.2</v>
      </c>
      <c r="K348" s="2" t="str">
        <f t="shared" si="33"/>
        <v>High Confidence</v>
      </c>
      <c r="L348" s="2" t="s">
        <v>30</v>
      </c>
      <c r="M348" s="2" t="str">
        <f t="shared" si="31"/>
        <v>AI Generated</v>
      </c>
      <c r="N348" s="2">
        <v>0.64100000000000001</v>
      </c>
      <c r="O348" s="2" t="s">
        <v>23</v>
      </c>
      <c r="P348" s="2">
        <v>530575</v>
      </c>
      <c r="Q348" s="2" t="str">
        <f t="shared" si="29"/>
        <v>Low</v>
      </c>
      <c r="R348" s="2">
        <v>19650244</v>
      </c>
      <c r="S348" s="2" t="str">
        <f t="shared" si="32"/>
        <v>Highly Viral</v>
      </c>
      <c r="T348" s="2" t="s">
        <v>61</v>
      </c>
      <c r="U348" s="6" t="s">
        <v>48</v>
      </c>
    </row>
    <row r="349" spans="1:21" x14ac:dyDescent="0.3">
      <c r="A349" s="4" t="s">
        <v>409</v>
      </c>
      <c r="B349" s="9">
        <v>45650</v>
      </c>
      <c r="C349" s="4" t="s">
        <v>17</v>
      </c>
      <c r="D349" s="4" t="s">
        <v>40</v>
      </c>
      <c r="E349" s="4" t="s">
        <v>73</v>
      </c>
      <c r="F349" s="4" t="s">
        <v>52</v>
      </c>
      <c r="G349" s="4" t="s">
        <v>74</v>
      </c>
      <c r="H349" s="14">
        <v>68.599999999999994</v>
      </c>
      <c r="I349" s="2" t="str">
        <f t="shared" si="30"/>
        <v>High Risk</v>
      </c>
      <c r="J349" s="4">
        <v>79.7</v>
      </c>
      <c r="K349" s="2" t="str">
        <f t="shared" si="33"/>
        <v>High Confidence</v>
      </c>
      <c r="L349" s="4" t="s">
        <v>30</v>
      </c>
      <c r="M349" s="2" t="str">
        <f t="shared" si="31"/>
        <v>AI Generated</v>
      </c>
      <c r="N349" s="4">
        <v>0.28199999999999997</v>
      </c>
      <c r="O349" s="4" t="s">
        <v>22</v>
      </c>
      <c r="P349" s="4">
        <v>3199628</v>
      </c>
      <c r="Q349" s="2" t="str">
        <f t="shared" si="29"/>
        <v>Medium</v>
      </c>
      <c r="R349" s="4">
        <v>13258300</v>
      </c>
      <c r="S349" s="2" t="str">
        <f t="shared" si="32"/>
        <v>Highly Viral</v>
      </c>
      <c r="T349" s="4" t="s">
        <v>61</v>
      </c>
      <c r="U349" s="6" t="s">
        <v>48</v>
      </c>
    </row>
    <row r="350" spans="1:21" x14ac:dyDescent="0.3">
      <c r="A350" s="2" t="s">
        <v>410</v>
      </c>
      <c r="B350" s="8">
        <v>45534</v>
      </c>
      <c r="C350" s="2" t="s">
        <v>69</v>
      </c>
      <c r="D350" s="2" t="s">
        <v>60</v>
      </c>
      <c r="E350" s="2" t="s">
        <v>28</v>
      </c>
      <c r="F350" s="2" t="s">
        <v>20</v>
      </c>
      <c r="G350" s="2" t="s">
        <v>42</v>
      </c>
      <c r="H350" s="13">
        <v>39.1</v>
      </c>
      <c r="I350" s="2" t="str">
        <f t="shared" si="30"/>
        <v>Moderate Risk</v>
      </c>
      <c r="J350" s="2">
        <v>89.1</v>
      </c>
      <c r="K350" s="2" t="str">
        <f t="shared" si="33"/>
        <v>High Confidence</v>
      </c>
      <c r="L350" s="2" t="s">
        <v>43</v>
      </c>
      <c r="M350" s="2" t="str">
        <f t="shared" si="31"/>
        <v>Human Content</v>
      </c>
      <c r="N350" s="2">
        <v>0.54600000000000004</v>
      </c>
      <c r="O350" s="2" t="s">
        <v>23</v>
      </c>
      <c r="P350" s="2">
        <v>1208693</v>
      </c>
      <c r="Q350" s="2" t="str">
        <f t="shared" si="29"/>
        <v>Medium</v>
      </c>
      <c r="R350" s="2">
        <v>10001616</v>
      </c>
      <c r="S350" s="2" t="str">
        <f t="shared" si="32"/>
        <v>Highly Viral</v>
      </c>
      <c r="T350" s="2" t="s">
        <v>56</v>
      </c>
      <c r="U350" s="5" t="s">
        <v>32</v>
      </c>
    </row>
    <row r="351" spans="1:21" x14ac:dyDescent="0.3">
      <c r="A351" s="4" t="s">
        <v>411</v>
      </c>
      <c r="B351" s="9">
        <v>45297</v>
      </c>
      <c r="C351" s="4" t="s">
        <v>69</v>
      </c>
      <c r="D351" s="4" t="s">
        <v>18</v>
      </c>
      <c r="E351" s="4" t="s">
        <v>47</v>
      </c>
      <c r="F351" s="4" t="s">
        <v>41</v>
      </c>
      <c r="G351" s="4" t="s">
        <v>29</v>
      </c>
      <c r="H351" s="14">
        <v>59.7</v>
      </c>
      <c r="I351" s="2" t="str">
        <f t="shared" si="30"/>
        <v>Moderate Risk</v>
      </c>
      <c r="J351" s="4">
        <v>76.3</v>
      </c>
      <c r="K351" s="2" t="str">
        <f t="shared" si="33"/>
        <v>High Confidence</v>
      </c>
      <c r="L351" s="4" t="s">
        <v>43</v>
      </c>
      <c r="M351" s="2" t="str">
        <f t="shared" si="31"/>
        <v>Human Content</v>
      </c>
      <c r="N351" s="4">
        <v>0.94699999999999995</v>
      </c>
      <c r="O351" s="4" t="s">
        <v>22</v>
      </c>
      <c r="P351" s="4">
        <v>1762151</v>
      </c>
      <c r="Q351" s="2" t="str">
        <f t="shared" si="29"/>
        <v>Medium</v>
      </c>
      <c r="R351" s="4">
        <v>11538246</v>
      </c>
      <c r="S351" s="2" t="str">
        <f t="shared" si="32"/>
        <v>Highly Viral</v>
      </c>
      <c r="T351" s="4" t="s">
        <v>31</v>
      </c>
      <c r="U351" s="5" t="s">
        <v>32</v>
      </c>
    </row>
    <row r="352" spans="1:21" x14ac:dyDescent="0.3">
      <c r="A352" s="2" t="s">
        <v>412</v>
      </c>
      <c r="B352" s="8">
        <v>45503</v>
      </c>
      <c r="C352" s="2" t="s">
        <v>69</v>
      </c>
      <c r="D352" s="2" t="s">
        <v>50</v>
      </c>
      <c r="E352" s="2" t="s">
        <v>35</v>
      </c>
      <c r="F352" s="2" t="s">
        <v>20</v>
      </c>
      <c r="G352" s="2" t="s">
        <v>29</v>
      </c>
      <c r="H352" s="13">
        <v>83.5</v>
      </c>
      <c r="I352" s="2" t="str">
        <f t="shared" si="30"/>
        <v>High Risk</v>
      </c>
      <c r="J352" s="2">
        <v>59.5</v>
      </c>
      <c r="K352" s="2" t="str">
        <f t="shared" si="33"/>
        <v>Moderate Confidence</v>
      </c>
      <c r="L352" s="2" t="s">
        <v>30</v>
      </c>
      <c r="M352" s="2" t="str">
        <f t="shared" si="31"/>
        <v>AI Generated</v>
      </c>
      <c r="N352" s="2">
        <v>0.18099999999999999</v>
      </c>
      <c r="O352" s="2" t="s">
        <v>23</v>
      </c>
      <c r="P352" s="2">
        <v>456342</v>
      </c>
      <c r="Q352" s="2" t="str">
        <f t="shared" si="29"/>
        <v>Low</v>
      </c>
      <c r="R352" s="2">
        <v>18416887</v>
      </c>
      <c r="S352" s="2" t="str">
        <f t="shared" si="32"/>
        <v>Highly Viral</v>
      </c>
      <c r="T352" s="2" t="s">
        <v>24</v>
      </c>
      <c r="U352" s="6" t="s">
        <v>48</v>
      </c>
    </row>
    <row r="353" spans="1:21" x14ac:dyDescent="0.3">
      <c r="A353" s="4" t="s">
        <v>413</v>
      </c>
      <c r="B353" s="9">
        <v>45622</v>
      </c>
      <c r="C353" s="4" t="s">
        <v>17</v>
      </c>
      <c r="D353" s="4" t="s">
        <v>40</v>
      </c>
      <c r="E353" s="4" t="s">
        <v>73</v>
      </c>
      <c r="F353" s="4" t="s">
        <v>52</v>
      </c>
      <c r="G353" s="4" t="s">
        <v>67</v>
      </c>
      <c r="H353" s="14">
        <v>19.7</v>
      </c>
      <c r="I353" s="2" t="str">
        <f t="shared" si="30"/>
        <v>Moderate Risk</v>
      </c>
      <c r="J353" s="4">
        <v>78.400000000000006</v>
      </c>
      <c r="K353" s="2" t="str">
        <f t="shared" si="33"/>
        <v>High Confidence</v>
      </c>
      <c r="L353" s="4" t="s">
        <v>22</v>
      </c>
      <c r="M353" s="2" t="str">
        <f t="shared" si="31"/>
        <v>Human Content</v>
      </c>
      <c r="N353" s="4">
        <v>0.95199999999999996</v>
      </c>
      <c r="O353" s="4" t="s">
        <v>22</v>
      </c>
      <c r="P353" s="4">
        <v>1075646</v>
      </c>
      <c r="Q353" s="2" t="str">
        <f t="shared" si="29"/>
        <v>Medium</v>
      </c>
      <c r="R353" s="4">
        <v>7870116</v>
      </c>
      <c r="S353" s="2" t="str">
        <f t="shared" si="32"/>
        <v>Highly Viral</v>
      </c>
      <c r="T353" s="4" t="s">
        <v>61</v>
      </c>
      <c r="U353" s="3" t="s">
        <v>25</v>
      </c>
    </row>
    <row r="354" spans="1:21" x14ac:dyDescent="0.3">
      <c r="A354" s="2" t="s">
        <v>414</v>
      </c>
      <c r="B354" s="8">
        <v>45437</v>
      </c>
      <c r="C354" s="2" t="s">
        <v>17</v>
      </c>
      <c r="D354" s="2" t="s">
        <v>50</v>
      </c>
      <c r="E354" s="2" t="s">
        <v>51</v>
      </c>
      <c r="F354" s="2" t="s">
        <v>76</v>
      </c>
      <c r="G354" s="2" t="s">
        <v>37</v>
      </c>
      <c r="H354" s="13">
        <v>32.799999999999997</v>
      </c>
      <c r="I354" s="2" t="str">
        <f t="shared" si="30"/>
        <v>Moderate Risk</v>
      </c>
      <c r="J354" s="2">
        <v>82.3</v>
      </c>
      <c r="K354" s="2" t="str">
        <f t="shared" si="33"/>
        <v>High Confidence</v>
      </c>
      <c r="L354" s="2" t="s">
        <v>22</v>
      </c>
      <c r="M354" s="2" t="str">
        <f t="shared" si="31"/>
        <v>Human Content</v>
      </c>
      <c r="N354" s="2">
        <v>0.69299999999999995</v>
      </c>
      <c r="O354" s="2" t="s">
        <v>30</v>
      </c>
      <c r="P354" s="2">
        <v>4744294</v>
      </c>
      <c r="Q354" s="2" t="str">
        <f t="shared" si="29"/>
        <v>High</v>
      </c>
      <c r="R354" s="2">
        <v>19021228</v>
      </c>
      <c r="S354" s="2" t="str">
        <f t="shared" si="32"/>
        <v>Highly Viral</v>
      </c>
      <c r="T354" s="2" t="s">
        <v>56</v>
      </c>
      <c r="U354" s="3" t="s">
        <v>25</v>
      </c>
    </row>
    <row r="355" spans="1:21" x14ac:dyDescent="0.3">
      <c r="A355" s="4" t="s">
        <v>415</v>
      </c>
      <c r="B355" s="9">
        <v>45453</v>
      </c>
      <c r="C355" s="4" t="s">
        <v>78</v>
      </c>
      <c r="D355" s="4" t="s">
        <v>50</v>
      </c>
      <c r="E355" s="4" t="s">
        <v>47</v>
      </c>
      <c r="F355" s="4" t="s">
        <v>52</v>
      </c>
      <c r="G355" s="4" t="s">
        <v>21</v>
      </c>
      <c r="H355" s="14">
        <v>78.599999999999994</v>
      </c>
      <c r="I355" s="2" t="str">
        <f t="shared" si="30"/>
        <v>High Risk</v>
      </c>
      <c r="J355" s="4">
        <v>84.9</v>
      </c>
      <c r="K355" s="2" t="str">
        <f t="shared" si="33"/>
        <v>High Confidence</v>
      </c>
      <c r="L355" s="4" t="s">
        <v>30</v>
      </c>
      <c r="M355" s="2" t="str">
        <f t="shared" si="31"/>
        <v>AI Generated</v>
      </c>
      <c r="N355" s="4">
        <v>0.64100000000000001</v>
      </c>
      <c r="O355" s="4" t="s">
        <v>22</v>
      </c>
      <c r="P355" s="4">
        <v>3015687</v>
      </c>
      <c r="Q355" s="2" t="str">
        <f t="shared" si="29"/>
        <v>Medium</v>
      </c>
      <c r="R355" s="4">
        <v>4507055</v>
      </c>
      <c r="S355" s="2" t="str">
        <f t="shared" si="32"/>
        <v>Moderately Viral</v>
      </c>
      <c r="T355" s="4" t="s">
        <v>56</v>
      </c>
      <c r="U355" s="6" t="s">
        <v>48</v>
      </c>
    </row>
    <row r="356" spans="1:21" x14ac:dyDescent="0.3">
      <c r="A356" s="2" t="s">
        <v>416</v>
      </c>
      <c r="B356" s="8">
        <v>45537</v>
      </c>
      <c r="C356" s="2" t="s">
        <v>54</v>
      </c>
      <c r="D356" s="2" t="s">
        <v>55</v>
      </c>
      <c r="E356" s="2" t="s">
        <v>51</v>
      </c>
      <c r="F356" s="2" t="s">
        <v>52</v>
      </c>
      <c r="G356" s="2" t="s">
        <v>37</v>
      </c>
      <c r="H356" s="13">
        <v>55.2</v>
      </c>
      <c r="I356" s="2" t="str">
        <f t="shared" si="30"/>
        <v>Moderate Risk</v>
      </c>
      <c r="J356" s="2">
        <v>58.6</v>
      </c>
      <c r="K356" s="2" t="str">
        <f t="shared" si="33"/>
        <v>Moderate Confidence</v>
      </c>
      <c r="L356" s="2" t="s">
        <v>43</v>
      </c>
      <c r="M356" s="2" t="str">
        <f t="shared" si="31"/>
        <v>Human Content</v>
      </c>
      <c r="N356" s="2">
        <v>0.60699999999999998</v>
      </c>
      <c r="O356" s="2" t="s">
        <v>22</v>
      </c>
      <c r="P356" s="2">
        <v>1174519</v>
      </c>
      <c r="Q356" s="2" t="str">
        <f t="shared" si="29"/>
        <v>Medium</v>
      </c>
      <c r="R356" s="2">
        <v>18073522</v>
      </c>
      <c r="S356" s="2" t="str">
        <f t="shared" si="32"/>
        <v>Highly Viral</v>
      </c>
      <c r="T356" s="2" t="s">
        <v>31</v>
      </c>
      <c r="U356" s="5" t="s">
        <v>32</v>
      </c>
    </row>
    <row r="357" spans="1:21" x14ac:dyDescent="0.3">
      <c r="A357" s="4" t="s">
        <v>417</v>
      </c>
      <c r="B357" s="9">
        <v>45426</v>
      </c>
      <c r="C357" s="4" t="s">
        <v>17</v>
      </c>
      <c r="D357" s="4" t="s">
        <v>18</v>
      </c>
      <c r="E357" s="4" t="s">
        <v>47</v>
      </c>
      <c r="F357" s="4" t="s">
        <v>58</v>
      </c>
      <c r="G357" s="4" t="s">
        <v>42</v>
      </c>
      <c r="H357" s="14">
        <v>3.1</v>
      </c>
      <c r="I357" s="2" t="str">
        <f t="shared" si="30"/>
        <v>Moderate Risk</v>
      </c>
      <c r="J357" s="4">
        <v>78.5</v>
      </c>
      <c r="K357" s="2" t="str">
        <f t="shared" si="33"/>
        <v>High Confidence</v>
      </c>
      <c r="L357" s="4" t="s">
        <v>22</v>
      </c>
      <c r="M357" s="2" t="str">
        <f t="shared" si="31"/>
        <v>Human Content</v>
      </c>
      <c r="N357" s="4">
        <v>0.40500000000000003</v>
      </c>
      <c r="O357" s="4" t="s">
        <v>23</v>
      </c>
      <c r="P357" s="4">
        <v>1784865</v>
      </c>
      <c r="Q357" s="2" t="str">
        <f t="shared" si="29"/>
        <v>Medium</v>
      </c>
      <c r="R357" s="4">
        <v>1230481</v>
      </c>
      <c r="S357" s="2" t="str">
        <f t="shared" si="32"/>
        <v>Moderately Viral</v>
      </c>
      <c r="T357" s="4" t="s">
        <v>44</v>
      </c>
      <c r="U357" s="3" t="s">
        <v>25</v>
      </c>
    </row>
    <row r="358" spans="1:21" x14ac:dyDescent="0.3">
      <c r="A358" s="2" t="s">
        <v>418</v>
      </c>
      <c r="B358" s="8">
        <v>45425</v>
      </c>
      <c r="C358" s="2" t="s">
        <v>54</v>
      </c>
      <c r="D358" s="2" t="s">
        <v>50</v>
      </c>
      <c r="E358" s="2" t="s">
        <v>51</v>
      </c>
      <c r="F358" s="2" t="s">
        <v>76</v>
      </c>
      <c r="G358" s="2" t="s">
        <v>21</v>
      </c>
      <c r="H358" s="13">
        <v>89.1</v>
      </c>
      <c r="I358" s="2" t="str">
        <f t="shared" si="30"/>
        <v>High Risk</v>
      </c>
      <c r="J358" s="2">
        <v>78.900000000000006</v>
      </c>
      <c r="K358" s="2" t="str">
        <f t="shared" si="33"/>
        <v>High Confidence</v>
      </c>
      <c r="L358" s="2" t="s">
        <v>30</v>
      </c>
      <c r="M358" s="2" t="str">
        <f t="shared" si="31"/>
        <v>AI Generated</v>
      </c>
      <c r="N358" s="2">
        <v>0.85699999999999998</v>
      </c>
      <c r="O358" s="2" t="s">
        <v>30</v>
      </c>
      <c r="P358" s="2">
        <v>3898295</v>
      </c>
      <c r="Q358" s="2" t="str">
        <f t="shared" si="29"/>
        <v>Medium</v>
      </c>
      <c r="R358" s="2">
        <v>16815403</v>
      </c>
      <c r="S358" s="2" t="str">
        <f t="shared" si="32"/>
        <v>Highly Viral</v>
      </c>
      <c r="T358" s="2" t="s">
        <v>44</v>
      </c>
      <c r="U358" s="6" t="s">
        <v>48</v>
      </c>
    </row>
    <row r="359" spans="1:21" x14ac:dyDescent="0.3">
      <c r="A359" s="4" t="s">
        <v>419</v>
      </c>
      <c r="B359" s="9">
        <v>45338</v>
      </c>
      <c r="C359" s="4" t="s">
        <v>78</v>
      </c>
      <c r="D359" s="4" t="s">
        <v>40</v>
      </c>
      <c r="E359" s="4" t="s">
        <v>47</v>
      </c>
      <c r="F359" s="4" t="s">
        <v>36</v>
      </c>
      <c r="G359" s="4" t="s">
        <v>21</v>
      </c>
      <c r="H359" s="14">
        <v>84.8</v>
      </c>
      <c r="I359" s="2" t="str">
        <f t="shared" si="30"/>
        <v>High Risk</v>
      </c>
      <c r="J359" s="4">
        <v>89.5</v>
      </c>
      <c r="K359" s="2" t="str">
        <f t="shared" si="33"/>
        <v>High Confidence</v>
      </c>
      <c r="L359" s="4" t="s">
        <v>30</v>
      </c>
      <c r="M359" s="2" t="str">
        <f t="shared" si="31"/>
        <v>AI Generated</v>
      </c>
      <c r="N359" s="4">
        <v>0.61399999999999999</v>
      </c>
      <c r="O359" s="4" t="s">
        <v>30</v>
      </c>
      <c r="P359" s="4">
        <v>4312991</v>
      </c>
      <c r="Q359" s="2" t="str">
        <f t="shared" ref="Q359:Q422" si="34">IF(P359&gt;4000000,"High",IF(P359&gt;1000000,"Medium",IF(P359&lt;1000000,"Low")))</f>
        <v>High</v>
      </c>
      <c r="R359" s="4">
        <v>4710558</v>
      </c>
      <c r="S359" s="2" t="str">
        <f t="shared" si="32"/>
        <v>Moderately Viral</v>
      </c>
      <c r="T359" s="4" t="s">
        <v>24</v>
      </c>
      <c r="U359" s="6" t="s">
        <v>48</v>
      </c>
    </row>
    <row r="360" spans="1:21" x14ac:dyDescent="0.3">
      <c r="A360" s="2" t="s">
        <v>420</v>
      </c>
      <c r="B360" s="8">
        <v>45373</v>
      </c>
      <c r="C360" s="2" t="s">
        <v>69</v>
      </c>
      <c r="D360" s="2" t="s">
        <v>60</v>
      </c>
      <c r="E360" s="2" t="s">
        <v>35</v>
      </c>
      <c r="F360" s="2" t="s">
        <v>36</v>
      </c>
      <c r="G360" s="2" t="s">
        <v>42</v>
      </c>
      <c r="H360" s="13">
        <v>48.4</v>
      </c>
      <c r="I360" s="2" t="str">
        <f t="shared" si="30"/>
        <v>Moderate Risk</v>
      </c>
      <c r="J360" s="2">
        <v>67.599999999999994</v>
      </c>
      <c r="K360" s="2" t="str">
        <f t="shared" si="33"/>
        <v>Moderate Confidence</v>
      </c>
      <c r="L360" s="2" t="s">
        <v>43</v>
      </c>
      <c r="M360" s="2" t="str">
        <f t="shared" si="31"/>
        <v>Human Content</v>
      </c>
      <c r="N360" s="2">
        <v>0.219</v>
      </c>
      <c r="O360" s="2" t="s">
        <v>22</v>
      </c>
      <c r="P360" s="2">
        <v>1944159</v>
      </c>
      <c r="Q360" s="2" t="str">
        <f t="shared" si="34"/>
        <v>Medium</v>
      </c>
      <c r="R360" s="2">
        <v>2109770</v>
      </c>
      <c r="S360" s="2" t="str">
        <f t="shared" si="32"/>
        <v>Moderately Viral</v>
      </c>
      <c r="T360" s="2" t="s">
        <v>56</v>
      </c>
      <c r="U360" s="5" t="s">
        <v>32</v>
      </c>
    </row>
    <row r="361" spans="1:21" x14ac:dyDescent="0.3">
      <c r="A361" s="4" t="s">
        <v>421</v>
      </c>
      <c r="B361" s="9">
        <v>45481</v>
      </c>
      <c r="C361" s="4" t="s">
        <v>46</v>
      </c>
      <c r="D361" s="4" t="s">
        <v>18</v>
      </c>
      <c r="E361" s="4" t="s">
        <v>28</v>
      </c>
      <c r="F361" s="4" t="s">
        <v>58</v>
      </c>
      <c r="G361" s="4" t="s">
        <v>74</v>
      </c>
      <c r="H361" s="14">
        <v>36.1</v>
      </c>
      <c r="I361" s="2" t="str">
        <f t="shared" si="30"/>
        <v>Moderate Risk</v>
      </c>
      <c r="J361" s="4">
        <v>73</v>
      </c>
      <c r="K361" s="2" t="str">
        <f t="shared" si="33"/>
        <v>High Confidence</v>
      </c>
      <c r="L361" s="4" t="s">
        <v>43</v>
      </c>
      <c r="M361" s="2" t="str">
        <f t="shared" si="31"/>
        <v>Human Content</v>
      </c>
      <c r="N361" s="4">
        <v>0.45500000000000002</v>
      </c>
      <c r="O361" s="4" t="s">
        <v>30</v>
      </c>
      <c r="P361" s="4">
        <v>334844</v>
      </c>
      <c r="Q361" s="2" t="str">
        <f t="shared" si="34"/>
        <v>Low</v>
      </c>
      <c r="R361" s="4">
        <v>10874522</v>
      </c>
      <c r="S361" s="2" t="str">
        <f t="shared" si="32"/>
        <v>Highly Viral</v>
      </c>
      <c r="T361" s="4" t="s">
        <v>61</v>
      </c>
      <c r="U361" s="5" t="s">
        <v>32</v>
      </c>
    </row>
    <row r="362" spans="1:21" x14ac:dyDescent="0.3">
      <c r="A362" s="2" t="s">
        <v>422</v>
      </c>
      <c r="B362" s="8">
        <v>45652</v>
      </c>
      <c r="C362" s="2" t="s">
        <v>34</v>
      </c>
      <c r="D362" s="2" t="s">
        <v>40</v>
      </c>
      <c r="E362" s="2" t="s">
        <v>35</v>
      </c>
      <c r="F362" s="2" t="s">
        <v>76</v>
      </c>
      <c r="G362" s="2" t="s">
        <v>42</v>
      </c>
      <c r="H362" s="13">
        <v>37.9</v>
      </c>
      <c r="I362" s="2" t="str">
        <f t="shared" si="30"/>
        <v>Moderate Risk</v>
      </c>
      <c r="J362" s="2">
        <v>78.8</v>
      </c>
      <c r="K362" s="2" t="str">
        <f t="shared" si="33"/>
        <v>High Confidence</v>
      </c>
      <c r="L362" s="2" t="s">
        <v>43</v>
      </c>
      <c r="M362" s="2" t="str">
        <f t="shared" si="31"/>
        <v>Human Content</v>
      </c>
      <c r="N362" s="2">
        <v>0.89800000000000002</v>
      </c>
      <c r="O362" s="2" t="s">
        <v>30</v>
      </c>
      <c r="P362" s="2">
        <v>4334182</v>
      </c>
      <c r="Q362" s="2" t="str">
        <f t="shared" si="34"/>
        <v>High</v>
      </c>
      <c r="R362" s="2">
        <v>8442339</v>
      </c>
      <c r="S362" s="2" t="str">
        <f t="shared" si="32"/>
        <v>Highly Viral</v>
      </c>
      <c r="T362" s="2" t="s">
        <v>24</v>
      </c>
      <c r="U362" s="5" t="s">
        <v>32</v>
      </c>
    </row>
    <row r="363" spans="1:21" x14ac:dyDescent="0.3">
      <c r="A363" s="4" t="s">
        <v>423</v>
      </c>
      <c r="B363" s="9">
        <v>45406</v>
      </c>
      <c r="C363" s="4" t="s">
        <v>78</v>
      </c>
      <c r="D363" s="4" t="s">
        <v>40</v>
      </c>
      <c r="E363" s="4" t="s">
        <v>51</v>
      </c>
      <c r="F363" s="4" t="s">
        <v>76</v>
      </c>
      <c r="G363" s="4" t="s">
        <v>74</v>
      </c>
      <c r="H363" s="14">
        <v>48.2</v>
      </c>
      <c r="I363" s="2" t="str">
        <f t="shared" si="30"/>
        <v>Moderate Risk</v>
      </c>
      <c r="J363" s="4">
        <v>79.599999999999994</v>
      </c>
      <c r="K363" s="2" t="str">
        <f t="shared" si="33"/>
        <v>High Confidence</v>
      </c>
      <c r="L363" s="4" t="s">
        <v>43</v>
      </c>
      <c r="M363" s="2" t="str">
        <f t="shared" si="31"/>
        <v>Human Content</v>
      </c>
      <c r="N363" s="4">
        <v>0.502</v>
      </c>
      <c r="O363" s="4" t="s">
        <v>30</v>
      </c>
      <c r="P363" s="4">
        <v>3690237</v>
      </c>
      <c r="Q363" s="2" t="str">
        <f t="shared" si="34"/>
        <v>Medium</v>
      </c>
      <c r="R363" s="4">
        <v>5557309</v>
      </c>
      <c r="S363" s="2" t="str">
        <f t="shared" si="32"/>
        <v>Highly Viral</v>
      </c>
      <c r="T363" s="4" t="s">
        <v>31</v>
      </c>
      <c r="U363" s="5" t="s">
        <v>32</v>
      </c>
    </row>
    <row r="364" spans="1:21" x14ac:dyDescent="0.3">
      <c r="A364" s="2" t="s">
        <v>424</v>
      </c>
      <c r="B364" s="8">
        <v>45331</v>
      </c>
      <c r="C364" s="2" t="s">
        <v>34</v>
      </c>
      <c r="D364" s="2" t="s">
        <v>50</v>
      </c>
      <c r="E364" s="2" t="s">
        <v>35</v>
      </c>
      <c r="F364" s="2" t="s">
        <v>20</v>
      </c>
      <c r="G364" s="2" t="s">
        <v>21</v>
      </c>
      <c r="H364" s="13">
        <v>36.200000000000003</v>
      </c>
      <c r="I364" s="2" t="str">
        <f t="shared" si="30"/>
        <v>Moderate Risk</v>
      </c>
      <c r="J364" s="2">
        <v>85.1</v>
      </c>
      <c r="K364" s="2" t="str">
        <f t="shared" si="33"/>
        <v>High Confidence</v>
      </c>
      <c r="L364" s="2" t="s">
        <v>43</v>
      </c>
      <c r="M364" s="2" t="str">
        <f t="shared" si="31"/>
        <v>Human Content</v>
      </c>
      <c r="N364" s="2">
        <v>0.11799999999999999</v>
      </c>
      <c r="O364" s="2" t="s">
        <v>30</v>
      </c>
      <c r="P364" s="2">
        <v>3478131</v>
      </c>
      <c r="Q364" s="2" t="str">
        <f t="shared" si="34"/>
        <v>Medium</v>
      </c>
      <c r="R364" s="2">
        <v>11081004</v>
      </c>
      <c r="S364" s="2" t="str">
        <f t="shared" si="32"/>
        <v>Highly Viral</v>
      </c>
      <c r="T364" s="2" t="s">
        <v>61</v>
      </c>
      <c r="U364" s="5" t="s">
        <v>32</v>
      </c>
    </row>
    <row r="365" spans="1:21" x14ac:dyDescent="0.3">
      <c r="A365" s="4" t="s">
        <v>425</v>
      </c>
      <c r="B365" s="9">
        <v>45538</v>
      </c>
      <c r="C365" s="4" t="s">
        <v>54</v>
      </c>
      <c r="D365" s="4" t="s">
        <v>55</v>
      </c>
      <c r="E365" s="4" t="s">
        <v>28</v>
      </c>
      <c r="F365" s="4" t="s">
        <v>58</v>
      </c>
      <c r="G365" s="4" t="s">
        <v>21</v>
      </c>
      <c r="H365" s="14">
        <v>64.7</v>
      </c>
      <c r="I365" s="2" t="str">
        <f t="shared" si="30"/>
        <v>High Risk</v>
      </c>
      <c r="J365" s="4">
        <v>70.099999999999994</v>
      </c>
      <c r="K365" s="2" t="str">
        <f t="shared" si="33"/>
        <v>High Confidence</v>
      </c>
      <c r="L365" s="4" t="s">
        <v>30</v>
      </c>
      <c r="M365" s="2" t="str">
        <f t="shared" si="31"/>
        <v>AI Generated</v>
      </c>
      <c r="N365" s="4">
        <v>0.24399999999999999</v>
      </c>
      <c r="O365" s="4" t="s">
        <v>30</v>
      </c>
      <c r="P365" s="4">
        <v>4810853</v>
      </c>
      <c r="Q365" s="2" t="str">
        <f t="shared" si="34"/>
        <v>High</v>
      </c>
      <c r="R365" s="4">
        <v>19876389</v>
      </c>
      <c r="S365" s="2" t="str">
        <f t="shared" si="32"/>
        <v>Highly Viral</v>
      </c>
      <c r="T365" s="4" t="s">
        <v>31</v>
      </c>
      <c r="U365" s="5" t="s">
        <v>32</v>
      </c>
    </row>
    <row r="366" spans="1:21" x14ac:dyDescent="0.3">
      <c r="A366" s="2" t="s">
        <v>426</v>
      </c>
      <c r="B366" s="8">
        <v>45360</v>
      </c>
      <c r="C366" s="2" t="s">
        <v>27</v>
      </c>
      <c r="D366" s="2" t="s">
        <v>60</v>
      </c>
      <c r="E366" s="2" t="s">
        <v>35</v>
      </c>
      <c r="F366" s="2" t="s">
        <v>41</v>
      </c>
      <c r="G366" s="2" t="s">
        <v>21</v>
      </c>
      <c r="H366" s="13">
        <v>25.8</v>
      </c>
      <c r="I366" s="2" t="str">
        <f t="shared" si="30"/>
        <v>Moderate Risk</v>
      </c>
      <c r="J366" s="2">
        <v>58.8</v>
      </c>
      <c r="K366" s="2" t="str">
        <f t="shared" si="33"/>
        <v>Moderate Confidence</v>
      </c>
      <c r="L366" s="2" t="s">
        <v>22</v>
      </c>
      <c r="M366" s="2" t="str">
        <f t="shared" si="31"/>
        <v>Human Content</v>
      </c>
      <c r="N366" s="2">
        <v>0.95799999999999996</v>
      </c>
      <c r="O366" s="2" t="s">
        <v>23</v>
      </c>
      <c r="P366" s="2">
        <v>4727958</v>
      </c>
      <c r="Q366" s="2" t="str">
        <f t="shared" si="34"/>
        <v>High</v>
      </c>
      <c r="R366" s="2">
        <v>625284</v>
      </c>
      <c r="S366" s="2" t="b">
        <f t="shared" si="32"/>
        <v>0</v>
      </c>
      <c r="T366" s="2" t="s">
        <v>56</v>
      </c>
      <c r="U366" s="3" t="s">
        <v>25</v>
      </c>
    </row>
    <row r="367" spans="1:21" x14ac:dyDescent="0.3">
      <c r="A367" s="4" t="s">
        <v>427</v>
      </c>
      <c r="B367" s="9">
        <v>45335</v>
      </c>
      <c r="C367" s="4" t="s">
        <v>46</v>
      </c>
      <c r="D367" s="4" t="s">
        <v>55</v>
      </c>
      <c r="E367" s="4" t="s">
        <v>71</v>
      </c>
      <c r="F367" s="4" t="s">
        <v>76</v>
      </c>
      <c r="G367" s="4" t="s">
        <v>21</v>
      </c>
      <c r="H367" s="14">
        <v>21.9</v>
      </c>
      <c r="I367" s="2" t="str">
        <f t="shared" si="30"/>
        <v>Moderate Risk</v>
      </c>
      <c r="J367" s="4">
        <v>70.099999999999994</v>
      </c>
      <c r="K367" s="2" t="str">
        <f t="shared" si="33"/>
        <v>High Confidence</v>
      </c>
      <c r="L367" s="4" t="s">
        <v>22</v>
      </c>
      <c r="M367" s="2" t="str">
        <f t="shared" si="31"/>
        <v>Human Content</v>
      </c>
      <c r="N367" s="4">
        <v>0.14299999999999999</v>
      </c>
      <c r="O367" s="4" t="s">
        <v>23</v>
      </c>
      <c r="P367" s="4">
        <v>1525854</v>
      </c>
      <c r="Q367" s="2" t="str">
        <f t="shared" si="34"/>
        <v>Medium</v>
      </c>
      <c r="R367" s="4">
        <v>17140268</v>
      </c>
      <c r="S367" s="2" t="str">
        <f t="shared" si="32"/>
        <v>Highly Viral</v>
      </c>
      <c r="T367" s="4" t="s">
        <v>56</v>
      </c>
      <c r="U367" s="3" t="s">
        <v>25</v>
      </c>
    </row>
    <row r="368" spans="1:21" x14ac:dyDescent="0.3">
      <c r="A368" s="2" t="s">
        <v>428</v>
      </c>
      <c r="B368" s="8">
        <v>45377</v>
      </c>
      <c r="C368" s="2" t="s">
        <v>39</v>
      </c>
      <c r="D368" s="2" t="s">
        <v>55</v>
      </c>
      <c r="E368" s="2" t="s">
        <v>73</v>
      </c>
      <c r="F368" s="2" t="s">
        <v>20</v>
      </c>
      <c r="G368" s="2" t="s">
        <v>37</v>
      </c>
      <c r="H368" s="13">
        <v>38.5</v>
      </c>
      <c r="I368" s="2" t="str">
        <f t="shared" si="30"/>
        <v>Moderate Risk</v>
      </c>
      <c r="J368" s="2">
        <v>55.3</v>
      </c>
      <c r="K368" s="2" t="str">
        <f t="shared" si="33"/>
        <v>Moderate Confidence</v>
      </c>
      <c r="L368" s="2" t="s">
        <v>43</v>
      </c>
      <c r="M368" s="2" t="str">
        <f t="shared" si="31"/>
        <v>Human Content</v>
      </c>
      <c r="N368" s="2">
        <v>0.20200000000000001</v>
      </c>
      <c r="O368" s="2" t="s">
        <v>23</v>
      </c>
      <c r="P368" s="2">
        <v>3521595</v>
      </c>
      <c r="Q368" s="2" t="str">
        <f t="shared" si="34"/>
        <v>Medium</v>
      </c>
      <c r="R368" s="2">
        <v>5018940</v>
      </c>
      <c r="S368" s="2" t="str">
        <f t="shared" si="32"/>
        <v>Highly Viral</v>
      </c>
      <c r="T368" s="2" t="s">
        <v>44</v>
      </c>
      <c r="U368" s="5" t="s">
        <v>32</v>
      </c>
    </row>
    <row r="369" spans="1:21" x14ac:dyDescent="0.3">
      <c r="A369" s="4" t="s">
        <v>429</v>
      </c>
      <c r="B369" s="9">
        <v>45341</v>
      </c>
      <c r="C369" s="4" t="s">
        <v>69</v>
      </c>
      <c r="D369" s="4" t="s">
        <v>55</v>
      </c>
      <c r="E369" s="4" t="s">
        <v>47</v>
      </c>
      <c r="F369" s="4" t="s">
        <v>58</v>
      </c>
      <c r="G369" s="4" t="s">
        <v>29</v>
      </c>
      <c r="H369" s="14">
        <v>75.2</v>
      </c>
      <c r="I369" s="2" t="str">
        <f t="shared" si="30"/>
        <v>High Risk</v>
      </c>
      <c r="J369" s="4">
        <v>54.6</v>
      </c>
      <c r="K369" s="2" t="str">
        <f t="shared" si="33"/>
        <v>Moderate Confidence</v>
      </c>
      <c r="L369" s="4" t="s">
        <v>30</v>
      </c>
      <c r="M369" s="2" t="str">
        <f t="shared" si="31"/>
        <v>AI Generated</v>
      </c>
      <c r="N369" s="4">
        <v>0.65900000000000003</v>
      </c>
      <c r="O369" s="4" t="s">
        <v>23</v>
      </c>
      <c r="P369" s="4">
        <v>4523958</v>
      </c>
      <c r="Q369" s="2" t="str">
        <f t="shared" si="34"/>
        <v>High</v>
      </c>
      <c r="R369" s="4">
        <v>40772</v>
      </c>
      <c r="S369" s="2" t="str">
        <f t="shared" si="32"/>
        <v>Low Viral</v>
      </c>
      <c r="T369" s="4" t="s">
        <v>24</v>
      </c>
      <c r="U369" s="6" t="s">
        <v>48</v>
      </c>
    </row>
    <row r="370" spans="1:21" x14ac:dyDescent="0.3">
      <c r="A370" s="2" t="s">
        <v>430</v>
      </c>
      <c r="B370" s="8">
        <v>45559</v>
      </c>
      <c r="C370" s="2" t="s">
        <v>78</v>
      </c>
      <c r="D370" s="2" t="s">
        <v>40</v>
      </c>
      <c r="E370" s="2" t="s">
        <v>47</v>
      </c>
      <c r="F370" s="2" t="s">
        <v>36</v>
      </c>
      <c r="G370" s="2" t="s">
        <v>29</v>
      </c>
      <c r="H370" s="13">
        <v>42.9</v>
      </c>
      <c r="I370" s="2" t="str">
        <f t="shared" si="30"/>
        <v>Moderate Risk</v>
      </c>
      <c r="J370" s="2">
        <v>96</v>
      </c>
      <c r="K370" s="2" t="str">
        <f t="shared" si="33"/>
        <v>High Confidence</v>
      </c>
      <c r="L370" s="2" t="s">
        <v>43</v>
      </c>
      <c r="M370" s="2" t="str">
        <f t="shared" si="31"/>
        <v>Human Content</v>
      </c>
      <c r="N370" s="2">
        <v>0.48199999999999998</v>
      </c>
      <c r="O370" s="2" t="s">
        <v>22</v>
      </c>
      <c r="P370" s="2">
        <v>2940456</v>
      </c>
      <c r="Q370" s="2" t="str">
        <f t="shared" si="34"/>
        <v>Medium</v>
      </c>
      <c r="R370" s="2">
        <v>19765673</v>
      </c>
      <c r="S370" s="2" t="str">
        <f t="shared" si="32"/>
        <v>Highly Viral</v>
      </c>
      <c r="T370" s="2" t="s">
        <v>44</v>
      </c>
      <c r="U370" s="5" t="s">
        <v>32</v>
      </c>
    </row>
    <row r="371" spans="1:21" x14ac:dyDescent="0.3">
      <c r="A371" s="4" t="s">
        <v>431</v>
      </c>
      <c r="B371" s="9">
        <v>45342</v>
      </c>
      <c r="C371" s="4" t="s">
        <v>78</v>
      </c>
      <c r="D371" s="4" t="s">
        <v>50</v>
      </c>
      <c r="E371" s="4" t="s">
        <v>19</v>
      </c>
      <c r="F371" s="4" t="s">
        <v>76</v>
      </c>
      <c r="G371" s="4" t="s">
        <v>74</v>
      </c>
      <c r="H371" s="14">
        <v>23.3</v>
      </c>
      <c r="I371" s="2" t="str">
        <f t="shared" si="30"/>
        <v>Moderate Risk</v>
      </c>
      <c r="J371" s="4">
        <v>92.1</v>
      </c>
      <c r="K371" s="2" t="str">
        <f t="shared" si="33"/>
        <v>High Confidence</v>
      </c>
      <c r="L371" s="4" t="s">
        <v>22</v>
      </c>
      <c r="M371" s="2" t="str">
        <f t="shared" si="31"/>
        <v>Human Content</v>
      </c>
      <c r="N371" s="4">
        <v>0.28299999999999997</v>
      </c>
      <c r="O371" s="4" t="s">
        <v>23</v>
      </c>
      <c r="P371" s="4">
        <v>3428077</v>
      </c>
      <c r="Q371" s="2" t="str">
        <f t="shared" si="34"/>
        <v>Medium</v>
      </c>
      <c r="R371" s="4">
        <v>8650999</v>
      </c>
      <c r="S371" s="2" t="str">
        <f t="shared" si="32"/>
        <v>Highly Viral</v>
      </c>
      <c r="T371" s="4" t="s">
        <v>31</v>
      </c>
      <c r="U371" s="3" t="s">
        <v>25</v>
      </c>
    </row>
    <row r="372" spans="1:21" x14ac:dyDescent="0.3">
      <c r="A372" s="2" t="s">
        <v>432</v>
      </c>
      <c r="B372" s="8">
        <v>45294</v>
      </c>
      <c r="C372" s="2" t="s">
        <v>27</v>
      </c>
      <c r="D372" s="2" t="s">
        <v>60</v>
      </c>
      <c r="E372" s="2" t="s">
        <v>73</v>
      </c>
      <c r="F372" s="2" t="s">
        <v>58</v>
      </c>
      <c r="G372" s="2" t="s">
        <v>67</v>
      </c>
      <c r="H372" s="13">
        <v>37.5</v>
      </c>
      <c r="I372" s="2" t="str">
        <f t="shared" si="30"/>
        <v>Moderate Risk</v>
      </c>
      <c r="J372" s="2">
        <v>60.1</v>
      </c>
      <c r="K372" s="2" t="str">
        <f t="shared" si="33"/>
        <v>Moderate Confidence</v>
      </c>
      <c r="L372" s="2" t="s">
        <v>43</v>
      </c>
      <c r="M372" s="2" t="str">
        <f t="shared" si="31"/>
        <v>Human Content</v>
      </c>
      <c r="N372" s="2">
        <v>0.80400000000000005</v>
      </c>
      <c r="O372" s="2" t="s">
        <v>22</v>
      </c>
      <c r="P372" s="2">
        <v>3039039</v>
      </c>
      <c r="Q372" s="2" t="str">
        <f t="shared" si="34"/>
        <v>Medium</v>
      </c>
      <c r="R372" s="2">
        <v>3576839</v>
      </c>
      <c r="S372" s="2" t="str">
        <f t="shared" si="32"/>
        <v>Moderately Viral</v>
      </c>
      <c r="T372" s="2" t="s">
        <v>31</v>
      </c>
      <c r="U372" s="5" t="s">
        <v>32</v>
      </c>
    </row>
    <row r="373" spans="1:21" x14ac:dyDescent="0.3">
      <c r="A373" s="4" t="s">
        <v>433</v>
      </c>
      <c r="B373" s="9">
        <v>45510</v>
      </c>
      <c r="C373" s="4" t="s">
        <v>34</v>
      </c>
      <c r="D373" s="4" t="s">
        <v>40</v>
      </c>
      <c r="E373" s="4" t="s">
        <v>88</v>
      </c>
      <c r="F373" s="4" t="s">
        <v>58</v>
      </c>
      <c r="G373" s="4" t="s">
        <v>64</v>
      </c>
      <c r="H373" s="14">
        <v>61.2</v>
      </c>
      <c r="I373" s="2" t="str">
        <f t="shared" si="30"/>
        <v>High Risk</v>
      </c>
      <c r="J373" s="4">
        <v>98.6</v>
      </c>
      <c r="K373" s="2" t="str">
        <f t="shared" si="33"/>
        <v>High Confidence</v>
      </c>
      <c r="L373" s="4" t="s">
        <v>30</v>
      </c>
      <c r="M373" s="2" t="str">
        <f t="shared" si="31"/>
        <v>AI Generated</v>
      </c>
      <c r="N373" s="4">
        <v>0.39700000000000002</v>
      </c>
      <c r="O373" s="4" t="s">
        <v>30</v>
      </c>
      <c r="P373" s="4">
        <v>3466509</v>
      </c>
      <c r="Q373" s="2" t="str">
        <f t="shared" si="34"/>
        <v>Medium</v>
      </c>
      <c r="R373" s="4">
        <v>18526067</v>
      </c>
      <c r="S373" s="2" t="str">
        <f t="shared" si="32"/>
        <v>Highly Viral</v>
      </c>
      <c r="T373" s="4" t="s">
        <v>44</v>
      </c>
      <c r="U373" s="5" t="s">
        <v>32</v>
      </c>
    </row>
    <row r="374" spans="1:21" x14ac:dyDescent="0.3">
      <c r="A374" s="2" t="s">
        <v>434</v>
      </c>
      <c r="B374" s="8">
        <v>45539</v>
      </c>
      <c r="C374" s="2" t="s">
        <v>69</v>
      </c>
      <c r="D374" s="2" t="s">
        <v>40</v>
      </c>
      <c r="E374" s="2" t="s">
        <v>71</v>
      </c>
      <c r="F374" s="2" t="s">
        <v>52</v>
      </c>
      <c r="G374" s="2" t="s">
        <v>64</v>
      </c>
      <c r="H374" s="13">
        <v>57.8</v>
      </c>
      <c r="I374" s="2" t="str">
        <f t="shared" si="30"/>
        <v>Moderate Risk</v>
      </c>
      <c r="J374" s="2">
        <v>87.9</v>
      </c>
      <c r="K374" s="2" t="str">
        <f t="shared" si="33"/>
        <v>High Confidence</v>
      </c>
      <c r="L374" s="2" t="s">
        <v>43</v>
      </c>
      <c r="M374" s="2" t="str">
        <f t="shared" si="31"/>
        <v>Human Content</v>
      </c>
      <c r="N374" s="2">
        <v>0.39800000000000002</v>
      </c>
      <c r="O374" s="2" t="s">
        <v>30</v>
      </c>
      <c r="P374" s="2">
        <v>999063</v>
      </c>
      <c r="Q374" s="2" t="str">
        <f t="shared" si="34"/>
        <v>Low</v>
      </c>
      <c r="R374" s="2">
        <v>7710345</v>
      </c>
      <c r="S374" s="2" t="str">
        <f t="shared" si="32"/>
        <v>Highly Viral</v>
      </c>
      <c r="T374" s="2" t="s">
        <v>24</v>
      </c>
      <c r="U374" s="5" t="s">
        <v>32</v>
      </c>
    </row>
    <row r="375" spans="1:21" x14ac:dyDescent="0.3">
      <c r="A375" s="4" t="s">
        <v>435</v>
      </c>
      <c r="B375" s="9">
        <v>45650</v>
      </c>
      <c r="C375" s="4" t="s">
        <v>69</v>
      </c>
      <c r="D375" s="4" t="s">
        <v>18</v>
      </c>
      <c r="E375" s="4" t="s">
        <v>28</v>
      </c>
      <c r="F375" s="4" t="s">
        <v>58</v>
      </c>
      <c r="G375" s="4" t="s">
        <v>37</v>
      </c>
      <c r="H375" s="14">
        <v>78.599999999999994</v>
      </c>
      <c r="I375" s="2" t="str">
        <f t="shared" si="30"/>
        <v>High Risk</v>
      </c>
      <c r="J375" s="4">
        <v>89.2</v>
      </c>
      <c r="K375" s="2" t="str">
        <f t="shared" si="33"/>
        <v>High Confidence</v>
      </c>
      <c r="L375" s="4" t="s">
        <v>30</v>
      </c>
      <c r="M375" s="2" t="str">
        <f t="shared" si="31"/>
        <v>AI Generated</v>
      </c>
      <c r="N375" s="4">
        <v>0.61399999999999999</v>
      </c>
      <c r="O375" s="4" t="s">
        <v>23</v>
      </c>
      <c r="P375" s="4">
        <v>436750</v>
      </c>
      <c r="Q375" s="2" t="str">
        <f t="shared" si="34"/>
        <v>Low</v>
      </c>
      <c r="R375" s="4">
        <v>5393972</v>
      </c>
      <c r="S375" s="2" t="str">
        <f t="shared" si="32"/>
        <v>Highly Viral</v>
      </c>
      <c r="T375" s="4" t="s">
        <v>24</v>
      </c>
      <c r="U375" s="6" t="s">
        <v>48</v>
      </c>
    </row>
    <row r="376" spans="1:21" x14ac:dyDescent="0.3">
      <c r="A376" s="2" t="s">
        <v>436</v>
      </c>
      <c r="B376" s="8">
        <v>45617</v>
      </c>
      <c r="C376" s="2" t="s">
        <v>27</v>
      </c>
      <c r="D376" s="2" t="s">
        <v>18</v>
      </c>
      <c r="E376" s="2" t="s">
        <v>35</v>
      </c>
      <c r="F376" s="2" t="s">
        <v>76</v>
      </c>
      <c r="G376" s="2" t="s">
        <v>29</v>
      </c>
      <c r="H376" s="13">
        <v>43.5</v>
      </c>
      <c r="I376" s="2" t="str">
        <f t="shared" si="30"/>
        <v>Moderate Risk</v>
      </c>
      <c r="J376" s="2">
        <v>53.1</v>
      </c>
      <c r="K376" s="2" t="str">
        <f t="shared" si="33"/>
        <v>Moderate Confidence</v>
      </c>
      <c r="L376" s="2" t="s">
        <v>43</v>
      </c>
      <c r="M376" s="2" t="str">
        <f t="shared" si="31"/>
        <v>Human Content</v>
      </c>
      <c r="N376" s="2">
        <v>0.222</v>
      </c>
      <c r="O376" s="2" t="s">
        <v>30</v>
      </c>
      <c r="P376" s="2">
        <v>316814</v>
      </c>
      <c r="Q376" s="2" t="str">
        <f t="shared" si="34"/>
        <v>Low</v>
      </c>
      <c r="R376" s="2">
        <v>12896340</v>
      </c>
      <c r="S376" s="2" t="str">
        <f t="shared" si="32"/>
        <v>Highly Viral</v>
      </c>
      <c r="T376" s="2" t="s">
        <v>24</v>
      </c>
      <c r="U376" s="5" t="s">
        <v>32</v>
      </c>
    </row>
    <row r="377" spans="1:21" x14ac:dyDescent="0.3">
      <c r="A377" s="4" t="s">
        <v>437</v>
      </c>
      <c r="B377" s="9">
        <v>45606</v>
      </c>
      <c r="C377" s="4" t="s">
        <v>34</v>
      </c>
      <c r="D377" s="4" t="s">
        <v>60</v>
      </c>
      <c r="E377" s="4" t="s">
        <v>47</v>
      </c>
      <c r="F377" s="4" t="s">
        <v>20</v>
      </c>
      <c r="G377" s="4" t="s">
        <v>42</v>
      </c>
      <c r="H377" s="14">
        <v>49.4</v>
      </c>
      <c r="I377" s="2" t="str">
        <f t="shared" si="30"/>
        <v>Moderate Risk</v>
      </c>
      <c r="J377" s="4">
        <v>50.5</v>
      </c>
      <c r="K377" s="2" t="str">
        <f t="shared" si="33"/>
        <v>Moderate Confidence</v>
      </c>
      <c r="L377" s="4" t="s">
        <v>43</v>
      </c>
      <c r="M377" s="2" t="str">
        <f t="shared" si="31"/>
        <v>Human Content</v>
      </c>
      <c r="N377" s="4">
        <v>0.85099999999999998</v>
      </c>
      <c r="O377" s="4" t="s">
        <v>23</v>
      </c>
      <c r="P377" s="4">
        <v>2399296</v>
      </c>
      <c r="Q377" s="2" t="str">
        <f t="shared" si="34"/>
        <v>Medium</v>
      </c>
      <c r="R377" s="4">
        <v>6535108</v>
      </c>
      <c r="S377" s="2" t="str">
        <f t="shared" si="32"/>
        <v>Highly Viral</v>
      </c>
      <c r="T377" s="4" t="s">
        <v>61</v>
      </c>
      <c r="U377" s="5" t="s">
        <v>32</v>
      </c>
    </row>
    <row r="378" spans="1:21" x14ac:dyDescent="0.3">
      <c r="A378" s="2" t="s">
        <v>438</v>
      </c>
      <c r="B378" s="8">
        <v>45598</v>
      </c>
      <c r="C378" s="2" t="s">
        <v>46</v>
      </c>
      <c r="D378" s="2" t="s">
        <v>60</v>
      </c>
      <c r="E378" s="2" t="s">
        <v>35</v>
      </c>
      <c r="F378" s="2" t="s">
        <v>36</v>
      </c>
      <c r="G378" s="2" t="s">
        <v>67</v>
      </c>
      <c r="H378" s="13">
        <v>36</v>
      </c>
      <c r="I378" s="2" t="str">
        <f t="shared" si="30"/>
        <v>Moderate Risk</v>
      </c>
      <c r="J378" s="2">
        <v>82.1</v>
      </c>
      <c r="K378" s="2" t="str">
        <f t="shared" si="33"/>
        <v>High Confidence</v>
      </c>
      <c r="L378" s="2" t="s">
        <v>43</v>
      </c>
      <c r="M378" s="2" t="str">
        <f t="shared" si="31"/>
        <v>Human Content</v>
      </c>
      <c r="N378" s="2">
        <v>0.97599999999999998</v>
      </c>
      <c r="O378" s="2" t="s">
        <v>30</v>
      </c>
      <c r="P378" s="2">
        <v>2314826</v>
      </c>
      <c r="Q378" s="2" t="str">
        <f t="shared" si="34"/>
        <v>Medium</v>
      </c>
      <c r="R378" s="2">
        <v>13403270</v>
      </c>
      <c r="S378" s="2" t="str">
        <f t="shared" si="32"/>
        <v>Highly Viral</v>
      </c>
      <c r="T378" s="2" t="s">
        <v>56</v>
      </c>
      <c r="U378" s="5" t="s">
        <v>32</v>
      </c>
    </row>
    <row r="379" spans="1:21" x14ac:dyDescent="0.3">
      <c r="A379" s="4" t="s">
        <v>439</v>
      </c>
      <c r="B379" s="9">
        <v>45634</v>
      </c>
      <c r="C379" s="4" t="s">
        <v>78</v>
      </c>
      <c r="D379" s="4" t="s">
        <v>55</v>
      </c>
      <c r="E379" s="4" t="s">
        <v>28</v>
      </c>
      <c r="F379" s="4" t="s">
        <v>58</v>
      </c>
      <c r="G379" s="4" t="s">
        <v>67</v>
      </c>
      <c r="H379" s="14">
        <v>73.7</v>
      </c>
      <c r="I379" s="2" t="str">
        <f t="shared" si="30"/>
        <v>High Risk</v>
      </c>
      <c r="J379" s="4">
        <v>53.4</v>
      </c>
      <c r="K379" s="2" t="str">
        <f t="shared" si="33"/>
        <v>Moderate Confidence</v>
      </c>
      <c r="L379" s="4" t="s">
        <v>30</v>
      </c>
      <c r="M379" s="2" t="str">
        <f t="shared" si="31"/>
        <v>AI Generated</v>
      </c>
      <c r="N379" s="4">
        <v>0.09</v>
      </c>
      <c r="O379" s="4" t="s">
        <v>22</v>
      </c>
      <c r="P379" s="4">
        <v>4690287</v>
      </c>
      <c r="Q379" s="2" t="str">
        <f t="shared" si="34"/>
        <v>High</v>
      </c>
      <c r="R379" s="4">
        <v>19560466</v>
      </c>
      <c r="S379" s="2" t="str">
        <f t="shared" si="32"/>
        <v>Highly Viral</v>
      </c>
      <c r="T379" s="4" t="s">
        <v>56</v>
      </c>
      <c r="U379" s="6" t="s">
        <v>48</v>
      </c>
    </row>
    <row r="380" spans="1:21" x14ac:dyDescent="0.3">
      <c r="A380" s="2" t="s">
        <v>440</v>
      </c>
      <c r="B380" s="8">
        <v>45469</v>
      </c>
      <c r="C380" s="2" t="s">
        <v>34</v>
      </c>
      <c r="D380" s="2" t="s">
        <v>50</v>
      </c>
      <c r="E380" s="2" t="s">
        <v>28</v>
      </c>
      <c r="F380" s="2" t="s">
        <v>76</v>
      </c>
      <c r="G380" s="2" t="s">
        <v>37</v>
      </c>
      <c r="H380" s="13">
        <v>57.5</v>
      </c>
      <c r="I380" s="2" t="str">
        <f t="shared" si="30"/>
        <v>Moderate Risk</v>
      </c>
      <c r="J380" s="2">
        <v>62.8</v>
      </c>
      <c r="K380" s="2" t="str">
        <f t="shared" si="33"/>
        <v>Moderate Confidence</v>
      </c>
      <c r="L380" s="2" t="s">
        <v>43</v>
      </c>
      <c r="M380" s="2" t="str">
        <f t="shared" si="31"/>
        <v>Human Content</v>
      </c>
      <c r="N380" s="2">
        <v>0.40699999999999997</v>
      </c>
      <c r="O380" s="2" t="s">
        <v>30</v>
      </c>
      <c r="P380" s="2">
        <v>4686234</v>
      </c>
      <c r="Q380" s="2" t="str">
        <f t="shared" si="34"/>
        <v>High</v>
      </c>
      <c r="R380" s="2">
        <v>2429370</v>
      </c>
      <c r="S380" s="2" t="str">
        <f t="shared" si="32"/>
        <v>Moderately Viral</v>
      </c>
      <c r="T380" s="2" t="s">
        <v>44</v>
      </c>
      <c r="U380" s="5" t="s">
        <v>32</v>
      </c>
    </row>
    <row r="381" spans="1:21" x14ac:dyDescent="0.3">
      <c r="A381" s="4" t="s">
        <v>441</v>
      </c>
      <c r="B381" s="9">
        <v>45442</v>
      </c>
      <c r="C381" s="4" t="s">
        <v>39</v>
      </c>
      <c r="D381" s="4" t="s">
        <v>18</v>
      </c>
      <c r="E381" s="4" t="s">
        <v>19</v>
      </c>
      <c r="F381" s="4" t="s">
        <v>58</v>
      </c>
      <c r="G381" s="4" t="s">
        <v>74</v>
      </c>
      <c r="H381" s="14">
        <v>79.3</v>
      </c>
      <c r="I381" s="2" t="str">
        <f t="shared" si="30"/>
        <v>High Risk</v>
      </c>
      <c r="J381" s="4">
        <v>62.3</v>
      </c>
      <c r="K381" s="2" t="str">
        <f t="shared" si="33"/>
        <v>Moderate Confidence</v>
      </c>
      <c r="L381" s="4" t="s">
        <v>30</v>
      </c>
      <c r="M381" s="2" t="str">
        <f t="shared" si="31"/>
        <v>AI Generated</v>
      </c>
      <c r="N381" s="4">
        <v>0.443</v>
      </c>
      <c r="O381" s="4" t="s">
        <v>22</v>
      </c>
      <c r="P381" s="4">
        <v>4724300</v>
      </c>
      <c r="Q381" s="2" t="str">
        <f t="shared" si="34"/>
        <v>High</v>
      </c>
      <c r="R381" s="4">
        <v>16228426</v>
      </c>
      <c r="S381" s="2" t="str">
        <f t="shared" si="32"/>
        <v>Highly Viral</v>
      </c>
      <c r="T381" s="4" t="s">
        <v>31</v>
      </c>
      <c r="U381" s="6" t="s">
        <v>48</v>
      </c>
    </row>
    <row r="382" spans="1:21" x14ac:dyDescent="0.3">
      <c r="A382" s="2" t="s">
        <v>442</v>
      </c>
      <c r="B382" s="8">
        <v>45465</v>
      </c>
      <c r="C382" s="2" t="s">
        <v>54</v>
      </c>
      <c r="D382" s="2" t="s">
        <v>55</v>
      </c>
      <c r="E382" s="2" t="s">
        <v>47</v>
      </c>
      <c r="F382" s="2" t="s">
        <v>76</v>
      </c>
      <c r="G382" s="2" t="s">
        <v>67</v>
      </c>
      <c r="H382" s="13">
        <v>25.8</v>
      </c>
      <c r="I382" s="2" t="str">
        <f t="shared" si="30"/>
        <v>Moderate Risk</v>
      </c>
      <c r="J382" s="2">
        <v>68.8</v>
      </c>
      <c r="K382" s="2" t="str">
        <f t="shared" si="33"/>
        <v>Moderate Confidence</v>
      </c>
      <c r="L382" s="2" t="s">
        <v>22</v>
      </c>
      <c r="M382" s="2" t="str">
        <f t="shared" si="31"/>
        <v>Human Content</v>
      </c>
      <c r="N382" s="2">
        <v>0.78900000000000003</v>
      </c>
      <c r="O382" s="2" t="s">
        <v>30</v>
      </c>
      <c r="P382" s="2">
        <v>1928893</v>
      </c>
      <c r="Q382" s="2" t="str">
        <f t="shared" si="34"/>
        <v>Medium</v>
      </c>
      <c r="R382" s="2">
        <v>10594664</v>
      </c>
      <c r="S382" s="2" t="str">
        <f t="shared" si="32"/>
        <v>Highly Viral</v>
      </c>
      <c r="T382" s="2" t="s">
        <v>24</v>
      </c>
      <c r="U382" s="3" t="s">
        <v>25</v>
      </c>
    </row>
    <row r="383" spans="1:21" x14ac:dyDescent="0.3">
      <c r="A383" s="4" t="s">
        <v>443</v>
      </c>
      <c r="B383" s="9">
        <v>45472</v>
      </c>
      <c r="C383" s="4" t="s">
        <v>27</v>
      </c>
      <c r="D383" s="4" t="s">
        <v>40</v>
      </c>
      <c r="E383" s="4" t="s">
        <v>28</v>
      </c>
      <c r="F383" s="4" t="s">
        <v>52</v>
      </c>
      <c r="G383" s="4" t="s">
        <v>67</v>
      </c>
      <c r="H383" s="14">
        <v>39.9</v>
      </c>
      <c r="I383" s="2" t="str">
        <f t="shared" si="30"/>
        <v>Moderate Risk</v>
      </c>
      <c r="J383" s="4">
        <v>86.7</v>
      </c>
      <c r="K383" s="2" t="str">
        <f t="shared" si="33"/>
        <v>High Confidence</v>
      </c>
      <c r="L383" s="4" t="s">
        <v>43</v>
      </c>
      <c r="M383" s="2" t="str">
        <f t="shared" si="31"/>
        <v>Human Content</v>
      </c>
      <c r="N383" s="4">
        <v>0.34200000000000003</v>
      </c>
      <c r="O383" s="4" t="s">
        <v>23</v>
      </c>
      <c r="P383" s="4">
        <v>1497346</v>
      </c>
      <c r="Q383" s="2" t="str">
        <f t="shared" si="34"/>
        <v>Medium</v>
      </c>
      <c r="R383" s="4">
        <v>15991047</v>
      </c>
      <c r="S383" s="2" t="str">
        <f t="shared" si="32"/>
        <v>Highly Viral</v>
      </c>
      <c r="T383" s="4" t="s">
        <v>56</v>
      </c>
      <c r="U383" s="5" t="s">
        <v>32</v>
      </c>
    </row>
    <row r="384" spans="1:21" x14ac:dyDescent="0.3">
      <c r="A384" s="2" t="s">
        <v>444</v>
      </c>
      <c r="B384" s="8">
        <v>45473</v>
      </c>
      <c r="C384" s="2" t="s">
        <v>46</v>
      </c>
      <c r="D384" s="2" t="s">
        <v>60</v>
      </c>
      <c r="E384" s="2" t="s">
        <v>19</v>
      </c>
      <c r="F384" s="2" t="s">
        <v>20</v>
      </c>
      <c r="G384" s="2" t="s">
        <v>42</v>
      </c>
      <c r="H384" s="13">
        <v>68.3</v>
      </c>
      <c r="I384" s="2" t="str">
        <f t="shared" si="30"/>
        <v>High Risk</v>
      </c>
      <c r="J384" s="2">
        <v>94.6</v>
      </c>
      <c r="K384" s="2" t="str">
        <f t="shared" si="33"/>
        <v>High Confidence</v>
      </c>
      <c r="L384" s="2" t="s">
        <v>30</v>
      </c>
      <c r="M384" s="2" t="str">
        <f t="shared" si="31"/>
        <v>AI Generated</v>
      </c>
      <c r="N384" s="2">
        <v>0.499</v>
      </c>
      <c r="O384" s="2" t="s">
        <v>30</v>
      </c>
      <c r="P384" s="2">
        <v>1970259</v>
      </c>
      <c r="Q384" s="2" t="str">
        <f t="shared" si="34"/>
        <v>Medium</v>
      </c>
      <c r="R384" s="2">
        <v>8122568</v>
      </c>
      <c r="S384" s="2" t="str">
        <f t="shared" si="32"/>
        <v>Highly Viral</v>
      </c>
      <c r="T384" s="2" t="s">
        <v>56</v>
      </c>
      <c r="U384" s="6" t="s">
        <v>48</v>
      </c>
    </row>
    <row r="385" spans="1:21" x14ac:dyDescent="0.3">
      <c r="A385" s="4" t="s">
        <v>445</v>
      </c>
      <c r="B385" s="9">
        <v>45397</v>
      </c>
      <c r="C385" s="4" t="s">
        <v>46</v>
      </c>
      <c r="D385" s="4" t="s">
        <v>50</v>
      </c>
      <c r="E385" s="4" t="s">
        <v>28</v>
      </c>
      <c r="F385" s="4" t="s">
        <v>58</v>
      </c>
      <c r="G385" s="4" t="s">
        <v>64</v>
      </c>
      <c r="H385" s="14">
        <v>15.6</v>
      </c>
      <c r="I385" s="2" t="str">
        <f t="shared" si="30"/>
        <v>Moderate Risk</v>
      </c>
      <c r="J385" s="4">
        <v>55.2</v>
      </c>
      <c r="K385" s="2" t="str">
        <f t="shared" si="33"/>
        <v>Moderate Confidence</v>
      </c>
      <c r="L385" s="4" t="s">
        <v>22</v>
      </c>
      <c r="M385" s="2" t="str">
        <f t="shared" si="31"/>
        <v>Human Content</v>
      </c>
      <c r="N385" s="4">
        <v>0.92</v>
      </c>
      <c r="O385" s="4" t="s">
        <v>23</v>
      </c>
      <c r="P385" s="4">
        <v>4132872</v>
      </c>
      <c r="Q385" s="2" t="str">
        <f t="shared" si="34"/>
        <v>High</v>
      </c>
      <c r="R385" s="4">
        <v>222753</v>
      </c>
      <c r="S385" s="2" t="str">
        <f t="shared" si="32"/>
        <v>Low Viral</v>
      </c>
      <c r="T385" s="4" t="s">
        <v>44</v>
      </c>
      <c r="U385" s="3" t="s">
        <v>25</v>
      </c>
    </row>
    <row r="386" spans="1:21" x14ac:dyDescent="0.3">
      <c r="A386" s="2" t="s">
        <v>446</v>
      </c>
      <c r="B386" s="8">
        <v>45313</v>
      </c>
      <c r="C386" s="2" t="s">
        <v>54</v>
      </c>
      <c r="D386" s="2" t="s">
        <v>40</v>
      </c>
      <c r="E386" s="2" t="s">
        <v>51</v>
      </c>
      <c r="F386" s="2" t="s">
        <v>76</v>
      </c>
      <c r="G386" s="2" t="s">
        <v>29</v>
      </c>
      <c r="H386" s="13">
        <v>86.9</v>
      </c>
      <c r="I386" s="2" t="str">
        <f t="shared" si="30"/>
        <v>High Risk</v>
      </c>
      <c r="J386" s="2">
        <v>74</v>
      </c>
      <c r="K386" s="2" t="str">
        <f t="shared" si="33"/>
        <v>High Confidence</v>
      </c>
      <c r="L386" s="2" t="s">
        <v>30</v>
      </c>
      <c r="M386" s="2" t="str">
        <f t="shared" si="31"/>
        <v>AI Generated</v>
      </c>
      <c r="N386" s="2">
        <v>0.98399999999999999</v>
      </c>
      <c r="O386" s="2" t="s">
        <v>23</v>
      </c>
      <c r="P386" s="2">
        <v>2351146</v>
      </c>
      <c r="Q386" s="2" t="str">
        <f t="shared" si="34"/>
        <v>Medium</v>
      </c>
      <c r="R386" s="2">
        <v>13351120</v>
      </c>
      <c r="S386" s="2" t="str">
        <f t="shared" si="32"/>
        <v>Highly Viral</v>
      </c>
      <c r="T386" s="2" t="s">
        <v>31</v>
      </c>
      <c r="U386" s="6" t="s">
        <v>48</v>
      </c>
    </row>
    <row r="387" spans="1:21" x14ac:dyDescent="0.3">
      <c r="A387" s="4" t="s">
        <v>447</v>
      </c>
      <c r="B387" s="9">
        <v>45587</v>
      </c>
      <c r="C387" s="4" t="s">
        <v>69</v>
      </c>
      <c r="D387" s="4" t="s">
        <v>18</v>
      </c>
      <c r="E387" s="4" t="s">
        <v>88</v>
      </c>
      <c r="F387" s="4" t="s">
        <v>76</v>
      </c>
      <c r="G387" s="4" t="s">
        <v>29</v>
      </c>
      <c r="H387" s="14">
        <v>3.3</v>
      </c>
      <c r="I387" s="2" t="str">
        <f t="shared" ref="I387:I450" si="35">IF(H387&gt;60,"High Risk",IF(H387&lt;60,"Moderate Risk"))</f>
        <v>Moderate Risk</v>
      </c>
      <c r="J387" s="4">
        <v>67</v>
      </c>
      <c r="K387" s="2" t="str">
        <f t="shared" si="33"/>
        <v>Moderate Confidence</v>
      </c>
      <c r="L387" s="4" t="s">
        <v>22</v>
      </c>
      <c r="M387" s="2" t="str">
        <f t="shared" ref="M387:M450" si="36">IF(L387="Yes","AI Generated","Human Content")</f>
        <v>Human Content</v>
      </c>
      <c r="N387" s="4">
        <v>0.86</v>
      </c>
      <c r="O387" s="4" t="s">
        <v>30</v>
      </c>
      <c r="P387" s="4">
        <v>3835338</v>
      </c>
      <c r="Q387" s="2" t="str">
        <f t="shared" si="34"/>
        <v>Medium</v>
      </c>
      <c r="R387" s="4">
        <v>4039385</v>
      </c>
      <c r="S387" s="2" t="str">
        <f t="shared" si="32"/>
        <v>Moderately Viral</v>
      </c>
      <c r="T387" s="4" t="s">
        <v>44</v>
      </c>
      <c r="U387" s="3" t="s">
        <v>25</v>
      </c>
    </row>
    <row r="388" spans="1:21" x14ac:dyDescent="0.3">
      <c r="A388" s="2" t="s">
        <v>448</v>
      </c>
      <c r="B388" s="8">
        <v>45527</v>
      </c>
      <c r="C388" s="2" t="s">
        <v>39</v>
      </c>
      <c r="D388" s="2" t="s">
        <v>18</v>
      </c>
      <c r="E388" s="2" t="s">
        <v>47</v>
      </c>
      <c r="F388" s="2" t="s">
        <v>36</v>
      </c>
      <c r="G388" s="2" t="s">
        <v>21</v>
      </c>
      <c r="H388" s="13">
        <v>37.9</v>
      </c>
      <c r="I388" s="2" t="str">
        <f t="shared" si="35"/>
        <v>Moderate Risk</v>
      </c>
      <c r="J388" s="2">
        <v>54.9</v>
      </c>
      <c r="K388" s="2" t="str">
        <f t="shared" si="33"/>
        <v>Moderate Confidence</v>
      </c>
      <c r="L388" s="2" t="s">
        <v>43</v>
      </c>
      <c r="M388" s="2" t="str">
        <f t="shared" si="36"/>
        <v>Human Content</v>
      </c>
      <c r="N388" s="2">
        <v>0.36199999999999999</v>
      </c>
      <c r="O388" s="2" t="s">
        <v>22</v>
      </c>
      <c r="P388" s="2">
        <v>1570048</v>
      </c>
      <c r="Q388" s="2" t="str">
        <f t="shared" si="34"/>
        <v>Medium</v>
      </c>
      <c r="R388" s="2">
        <v>18407233</v>
      </c>
      <c r="S388" s="2" t="str">
        <f t="shared" si="32"/>
        <v>Highly Viral</v>
      </c>
      <c r="T388" s="2" t="s">
        <v>56</v>
      </c>
      <c r="U388" s="5" t="s">
        <v>32</v>
      </c>
    </row>
    <row r="389" spans="1:21" x14ac:dyDescent="0.3">
      <c r="A389" s="4" t="s">
        <v>449</v>
      </c>
      <c r="B389" s="9">
        <v>45413</v>
      </c>
      <c r="C389" s="4" t="s">
        <v>34</v>
      </c>
      <c r="D389" s="4" t="s">
        <v>55</v>
      </c>
      <c r="E389" s="4" t="s">
        <v>51</v>
      </c>
      <c r="F389" s="4" t="s">
        <v>52</v>
      </c>
      <c r="G389" s="4" t="s">
        <v>21</v>
      </c>
      <c r="H389" s="14">
        <v>49.9</v>
      </c>
      <c r="I389" s="2" t="str">
        <f t="shared" si="35"/>
        <v>Moderate Risk</v>
      </c>
      <c r="J389" s="4">
        <v>60.3</v>
      </c>
      <c r="K389" s="2" t="str">
        <f t="shared" si="33"/>
        <v>Moderate Confidence</v>
      </c>
      <c r="L389" s="4" t="s">
        <v>43</v>
      </c>
      <c r="M389" s="2" t="str">
        <f t="shared" si="36"/>
        <v>Human Content</v>
      </c>
      <c r="N389" s="4">
        <v>0.70099999999999996</v>
      </c>
      <c r="O389" s="4" t="s">
        <v>22</v>
      </c>
      <c r="P389" s="4">
        <v>3062596</v>
      </c>
      <c r="Q389" s="2" t="str">
        <f t="shared" si="34"/>
        <v>Medium</v>
      </c>
      <c r="R389" s="4">
        <v>13442157</v>
      </c>
      <c r="S389" s="2" t="str">
        <f t="shared" ref="S389:S452" si="37">IF(R389&gt;5000000,"Highly Viral",IF(R389&gt;1000000,"Moderately Viral",IF(R389&lt;500000,"Low Viral")))</f>
        <v>Highly Viral</v>
      </c>
      <c r="T389" s="4" t="s">
        <v>56</v>
      </c>
      <c r="U389" s="5" t="s">
        <v>32</v>
      </c>
    </row>
    <row r="390" spans="1:21" x14ac:dyDescent="0.3">
      <c r="A390" s="2" t="s">
        <v>450</v>
      </c>
      <c r="B390" s="8">
        <v>45522</v>
      </c>
      <c r="C390" s="2" t="s">
        <v>69</v>
      </c>
      <c r="D390" s="2" t="s">
        <v>60</v>
      </c>
      <c r="E390" s="2" t="s">
        <v>35</v>
      </c>
      <c r="F390" s="2" t="s">
        <v>58</v>
      </c>
      <c r="G390" s="2" t="s">
        <v>42</v>
      </c>
      <c r="H390" s="13">
        <v>22.9</v>
      </c>
      <c r="I390" s="2" t="str">
        <f t="shared" si="35"/>
        <v>Moderate Risk</v>
      </c>
      <c r="J390" s="2">
        <v>54.9</v>
      </c>
      <c r="K390" s="2" t="str">
        <f t="shared" si="33"/>
        <v>Moderate Confidence</v>
      </c>
      <c r="L390" s="2" t="s">
        <v>22</v>
      </c>
      <c r="M390" s="2" t="str">
        <f t="shared" si="36"/>
        <v>Human Content</v>
      </c>
      <c r="N390" s="2">
        <v>0.27</v>
      </c>
      <c r="O390" s="2" t="s">
        <v>30</v>
      </c>
      <c r="P390" s="2">
        <v>4658629</v>
      </c>
      <c r="Q390" s="2" t="str">
        <f t="shared" si="34"/>
        <v>High</v>
      </c>
      <c r="R390" s="2">
        <v>14503354</v>
      </c>
      <c r="S390" s="2" t="str">
        <f t="shared" si="37"/>
        <v>Highly Viral</v>
      </c>
      <c r="T390" s="2" t="s">
        <v>24</v>
      </c>
      <c r="U390" s="3" t="s">
        <v>25</v>
      </c>
    </row>
    <row r="391" spans="1:21" x14ac:dyDescent="0.3">
      <c r="A391" s="4" t="s">
        <v>451</v>
      </c>
      <c r="B391" s="9">
        <v>45392</v>
      </c>
      <c r="C391" s="4" t="s">
        <v>69</v>
      </c>
      <c r="D391" s="4" t="s">
        <v>50</v>
      </c>
      <c r="E391" s="4" t="s">
        <v>71</v>
      </c>
      <c r="F391" s="4" t="s">
        <v>41</v>
      </c>
      <c r="G391" s="4" t="s">
        <v>21</v>
      </c>
      <c r="H391" s="14">
        <v>42.2</v>
      </c>
      <c r="I391" s="2" t="str">
        <f t="shared" si="35"/>
        <v>Moderate Risk</v>
      </c>
      <c r="J391" s="4">
        <v>56.6</v>
      </c>
      <c r="K391" s="2" t="str">
        <f t="shared" si="33"/>
        <v>Moderate Confidence</v>
      </c>
      <c r="L391" s="4" t="s">
        <v>43</v>
      </c>
      <c r="M391" s="2" t="str">
        <f t="shared" si="36"/>
        <v>Human Content</v>
      </c>
      <c r="N391" s="4">
        <v>0.89300000000000002</v>
      </c>
      <c r="O391" s="4" t="s">
        <v>23</v>
      </c>
      <c r="P391" s="4">
        <v>4337068</v>
      </c>
      <c r="Q391" s="2" t="str">
        <f t="shared" si="34"/>
        <v>High</v>
      </c>
      <c r="R391" s="4">
        <v>17917982</v>
      </c>
      <c r="S391" s="2" t="str">
        <f t="shared" si="37"/>
        <v>Highly Viral</v>
      </c>
      <c r="T391" s="4" t="s">
        <v>56</v>
      </c>
      <c r="U391" s="5" t="s">
        <v>32</v>
      </c>
    </row>
    <row r="392" spans="1:21" x14ac:dyDescent="0.3">
      <c r="A392" s="2" t="s">
        <v>452</v>
      </c>
      <c r="B392" s="8">
        <v>45541</v>
      </c>
      <c r="C392" s="2" t="s">
        <v>34</v>
      </c>
      <c r="D392" s="2" t="s">
        <v>40</v>
      </c>
      <c r="E392" s="2" t="s">
        <v>47</v>
      </c>
      <c r="F392" s="2" t="s">
        <v>76</v>
      </c>
      <c r="G392" s="2" t="s">
        <v>67</v>
      </c>
      <c r="H392" s="13">
        <v>69.099999999999994</v>
      </c>
      <c r="I392" s="2" t="str">
        <f t="shared" si="35"/>
        <v>High Risk</v>
      </c>
      <c r="J392" s="2">
        <v>52.9</v>
      </c>
      <c r="K392" s="2" t="str">
        <f t="shared" si="33"/>
        <v>Moderate Confidence</v>
      </c>
      <c r="L392" s="2" t="s">
        <v>30</v>
      </c>
      <c r="M392" s="2" t="str">
        <f t="shared" si="36"/>
        <v>AI Generated</v>
      </c>
      <c r="N392" s="2">
        <v>0.81399999999999995</v>
      </c>
      <c r="O392" s="2" t="s">
        <v>22</v>
      </c>
      <c r="P392" s="2">
        <v>807938</v>
      </c>
      <c r="Q392" s="2" t="str">
        <f t="shared" si="34"/>
        <v>Low</v>
      </c>
      <c r="R392" s="2">
        <v>15095122</v>
      </c>
      <c r="S392" s="2" t="str">
        <f t="shared" si="37"/>
        <v>Highly Viral</v>
      </c>
      <c r="T392" s="2" t="s">
        <v>56</v>
      </c>
      <c r="U392" s="6" t="s">
        <v>48</v>
      </c>
    </row>
    <row r="393" spans="1:21" x14ac:dyDescent="0.3">
      <c r="A393" s="4" t="s">
        <v>453</v>
      </c>
      <c r="B393" s="9">
        <v>45425</v>
      </c>
      <c r="C393" s="4" t="s">
        <v>39</v>
      </c>
      <c r="D393" s="4" t="s">
        <v>40</v>
      </c>
      <c r="E393" s="4" t="s">
        <v>19</v>
      </c>
      <c r="F393" s="4" t="s">
        <v>52</v>
      </c>
      <c r="G393" s="4" t="s">
        <v>67</v>
      </c>
      <c r="H393" s="14">
        <v>41.2</v>
      </c>
      <c r="I393" s="2" t="str">
        <f t="shared" si="35"/>
        <v>Moderate Risk</v>
      </c>
      <c r="J393" s="4">
        <v>67.2</v>
      </c>
      <c r="K393" s="2" t="str">
        <f t="shared" si="33"/>
        <v>Moderate Confidence</v>
      </c>
      <c r="L393" s="4" t="s">
        <v>43</v>
      </c>
      <c r="M393" s="2" t="str">
        <f t="shared" si="36"/>
        <v>Human Content</v>
      </c>
      <c r="N393" s="4">
        <v>0.68</v>
      </c>
      <c r="O393" s="4" t="s">
        <v>23</v>
      </c>
      <c r="P393" s="4">
        <v>1669081</v>
      </c>
      <c r="Q393" s="2" t="str">
        <f t="shared" si="34"/>
        <v>Medium</v>
      </c>
      <c r="R393" s="4">
        <v>19356500</v>
      </c>
      <c r="S393" s="2" t="str">
        <f t="shared" si="37"/>
        <v>Highly Viral</v>
      </c>
      <c r="T393" s="4" t="s">
        <v>44</v>
      </c>
      <c r="U393" s="5" t="s">
        <v>32</v>
      </c>
    </row>
    <row r="394" spans="1:21" x14ac:dyDescent="0.3">
      <c r="A394" s="2" t="s">
        <v>454</v>
      </c>
      <c r="B394" s="8">
        <v>45624</v>
      </c>
      <c r="C394" s="2" t="s">
        <v>69</v>
      </c>
      <c r="D394" s="2" t="s">
        <v>40</v>
      </c>
      <c r="E394" s="2" t="s">
        <v>51</v>
      </c>
      <c r="F394" s="2" t="s">
        <v>52</v>
      </c>
      <c r="G394" s="2" t="s">
        <v>42</v>
      </c>
      <c r="H394" s="13">
        <v>51</v>
      </c>
      <c r="I394" s="2" t="str">
        <f t="shared" si="35"/>
        <v>Moderate Risk</v>
      </c>
      <c r="J394" s="2">
        <v>88</v>
      </c>
      <c r="K394" s="2" t="str">
        <f t="shared" si="33"/>
        <v>High Confidence</v>
      </c>
      <c r="L394" s="2" t="s">
        <v>43</v>
      </c>
      <c r="M394" s="2" t="str">
        <f t="shared" si="36"/>
        <v>Human Content</v>
      </c>
      <c r="N394" s="2">
        <v>0.44700000000000001</v>
      </c>
      <c r="O394" s="2" t="s">
        <v>30</v>
      </c>
      <c r="P394" s="2">
        <v>3196755</v>
      </c>
      <c r="Q394" s="2" t="str">
        <f t="shared" si="34"/>
        <v>Medium</v>
      </c>
      <c r="R394" s="2">
        <v>9614635</v>
      </c>
      <c r="S394" s="2" t="str">
        <f t="shared" si="37"/>
        <v>Highly Viral</v>
      </c>
      <c r="T394" s="2" t="s">
        <v>24</v>
      </c>
      <c r="U394" s="5" t="s">
        <v>32</v>
      </c>
    </row>
    <row r="395" spans="1:21" x14ac:dyDescent="0.3">
      <c r="A395" s="4" t="s">
        <v>455</v>
      </c>
      <c r="B395" s="9">
        <v>45615</v>
      </c>
      <c r="C395" s="4" t="s">
        <v>69</v>
      </c>
      <c r="D395" s="4" t="s">
        <v>50</v>
      </c>
      <c r="E395" s="4" t="s">
        <v>51</v>
      </c>
      <c r="F395" s="4" t="s">
        <v>76</v>
      </c>
      <c r="G395" s="4" t="s">
        <v>42</v>
      </c>
      <c r="H395" s="14">
        <v>61.2</v>
      </c>
      <c r="I395" s="2" t="str">
        <f t="shared" si="35"/>
        <v>High Risk</v>
      </c>
      <c r="J395" s="4">
        <v>69.8</v>
      </c>
      <c r="K395" s="2" t="str">
        <f t="shared" si="33"/>
        <v>Moderate Confidence</v>
      </c>
      <c r="L395" s="4" t="s">
        <v>30</v>
      </c>
      <c r="M395" s="2" t="str">
        <f t="shared" si="36"/>
        <v>AI Generated</v>
      </c>
      <c r="N395" s="4">
        <v>0.90700000000000003</v>
      </c>
      <c r="O395" s="4" t="s">
        <v>30</v>
      </c>
      <c r="P395" s="4">
        <v>1359050</v>
      </c>
      <c r="Q395" s="2" t="str">
        <f t="shared" si="34"/>
        <v>Medium</v>
      </c>
      <c r="R395" s="4">
        <v>11530658</v>
      </c>
      <c r="S395" s="2" t="str">
        <f t="shared" si="37"/>
        <v>Highly Viral</v>
      </c>
      <c r="T395" s="4" t="s">
        <v>31</v>
      </c>
      <c r="U395" s="5" t="s">
        <v>32</v>
      </c>
    </row>
    <row r="396" spans="1:21" x14ac:dyDescent="0.3">
      <c r="A396" s="2" t="s">
        <v>456</v>
      </c>
      <c r="B396" s="8">
        <v>45452</v>
      </c>
      <c r="C396" s="2" t="s">
        <v>39</v>
      </c>
      <c r="D396" s="2" t="s">
        <v>40</v>
      </c>
      <c r="E396" s="2" t="s">
        <v>19</v>
      </c>
      <c r="F396" s="2" t="s">
        <v>58</v>
      </c>
      <c r="G396" s="2" t="s">
        <v>42</v>
      </c>
      <c r="H396" s="13">
        <v>39.5</v>
      </c>
      <c r="I396" s="2" t="str">
        <f t="shared" si="35"/>
        <v>Moderate Risk</v>
      </c>
      <c r="J396" s="2">
        <v>93.5</v>
      </c>
      <c r="K396" s="2" t="str">
        <f t="shared" si="33"/>
        <v>High Confidence</v>
      </c>
      <c r="L396" s="2" t="s">
        <v>43</v>
      </c>
      <c r="M396" s="2" t="str">
        <f t="shared" si="36"/>
        <v>Human Content</v>
      </c>
      <c r="N396" s="2">
        <v>0.78100000000000003</v>
      </c>
      <c r="O396" s="2" t="s">
        <v>22</v>
      </c>
      <c r="P396" s="2">
        <v>4923539</v>
      </c>
      <c r="Q396" s="2" t="str">
        <f t="shared" si="34"/>
        <v>High</v>
      </c>
      <c r="R396" s="2">
        <v>17480201</v>
      </c>
      <c r="S396" s="2" t="str">
        <f t="shared" si="37"/>
        <v>Highly Viral</v>
      </c>
      <c r="T396" s="2" t="s">
        <v>24</v>
      </c>
      <c r="U396" s="5" t="s">
        <v>32</v>
      </c>
    </row>
    <row r="397" spans="1:21" x14ac:dyDescent="0.3">
      <c r="A397" s="4" t="s">
        <v>457</v>
      </c>
      <c r="B397" s="9">
        <v>45503</v>
      </c>
      <c r="C397" s="4" t="s">
        <v>69</v>
      </c>
      <c r="D397" s="4" t="s">
        <v>50</v>
      </c>
      <c r="E397" s="4" t="s">
        <v>47</v>
      </c>
      <c r="F397" s="4" t="s">
        <v>20</v>
      </c>
      <c r="G397" s="4" t="s">
        <v>42</v>
      </c>
      <c r="H397" s="14">
        <v>23.5</v>
      </c>
      <c r="I397" s="2" t="str">
        <f t="shared" si="35"/>
        <v>Moderate Risk</v>
      </c>
      <c r="J397" s="4">
        <v>62.3</v>
      </c>
      <c r="K397" s="2" t="str">
        <f t="shared" si="33"/>
        <v>Moderate Confidence</v>
      </c>
      <c r="L397" s="4" t="s">
        <v>22</v>
      </c>
      <c r="M397" s="2" t="str">
        <f t="shared" si="36"/>
        <v>Human Content</v>
      </c>
      <c r="N397" s="4">
        <v>0.74399999999999999</v>
      </c>
      <c r="O397" s="4" t="s">
        <v>23</v>
      </c>
      <c r="P397" s="4">
        <v>671731</v>
      </c>
      <c r="Q397" s="2" t="str">
        <f t="shared" si="34"/>
        <v>Low</v>
      </c>
      <c r="R397" s="4">
        <v>7066106</v>
      </c>
      <c r="S397" s="2" t="str">
        <f t="shared" si="37"/>
        <v>Highly Viral</v>
      </c>
      <c r="T397" s="4" t="s">
        <v>31</v>
      </c>
      <c r="U397" s="3" t="s">
        <v>25</v>
      </c>
    </row>
    <row r="398" spans="1:21" x14ac:dyDescent="0.3">
      <c r="A398" s="2" t="s">
        <v>458</v>
      </c>
      <c r="B398" s="8">
        <v>45495</v>
      </c>
      <c r="C398" s="2" t="s">
        <v>17</v>
      </c>
      <c r="D398" s="2" t="s">
        <v>18</v>
      </c>
      <c r="E398" s="2" t="s">
        <v>73</v>
      </c>
      <c r="F398" s="2" t="s">
        <v>76</v>
      </c>
      <c r="G398" s="2" t="s">
        <v>29</v>
      </c>
      <c r="H398" s="13">
        <v>5.4</v>
      </c>
      <c r="I398" s="2" t="str">
        <f t="shared" si="35"/>
        <v>Moderate Risk</v>
      </c>
      <c r="J398" s="2">
        <v>87.8</v>
      </c>
      <c r="K398" s="2" t="str">
        <f t="shared" si="33"/>
        <v>High Confidence</v>
      </c>
      <c r="L398" s="2" t="s">
        <v>22</v>
      </c>
      <c r="M398" s="2" t="str">
        <f t="shared" si="36"/>
        <v>Human Content</v>
      </c>
      <c r="N398" s="2">
        <v>0.52400000000000002</v>
      </c>
      <c r="O398" s="2" t="s">
        <v>30</v>
      </c>
      <c r="P398" s="2">
        <v>871914</v>
      </c>
      <c r="Q398" s="2" t="str">
        <f t="shared" si="34"/>
        <v>Low</v>
      </c>
      <c r="R398" s="2">
        <v>8806936</v>
      </c>
      <c r="S398" s="2" t="str">
        <f t="shared" si="37"/>
        <v>Highly Viral</v>
      </c>
      <c r="T398" s="2" t="s">
        <v>44</v>
      </c>
      <c r="U398" s="3" t="s">
        <v>25</v>
      </c>
    </row>
    <row r="399" spans="1:21" x14ac:dyDescent="0.3">
      <c r="A399" s="4" t="s">
        <v>459</v>
      </c>
      <c r="B399" s="9">
        <v>45371</v>
      </c>
      <c r="C399" s="4" t="s">
        <v>17</v>
      </c>
      <c r="D399" s="4" t="s">
        <v>55</v>
      </c>
      <c r="E399" s="4" t="s">
        <v>19</v>
      </c>
      <c r="F399" s="4" t="s">
        <v>20</v>
      </c>
      <c r="G399" s="4" t="s">
        <v>21</v>
      </c>
      <c r="H399" s="14">
        <v>73.8</v>
      </c>
      <c r="I399" s="2" t="str">
        <f t="shared" si="35"/>
        <v>High Risk</v>
      </c>
      <c r="J399" s="4">
        <v>71.7</v>
      </c>
      <c r="K399" s="2" t="str">
        <f t="shared" si="33"/>
        <v>High Confidence</v>
      </c>
      <c r="L399" s="4" t="s">
        <v>30</v>
      </c>
      <c r="M399" s="2" t="str">
        <f t="shared" si="36"/>
        <v>AI Generated</v>
      </c>
      <c r="N399" s="4">
        <v>0.126</v>
      </c>
      <c r="O399" s="4" t="s">
        <v>23</v>
      </c>
      <c r="P399" s="4">
        <v>1431263</v>
      </c>
      <c r="Q399" s="2" t="str">
        <f t="shared" si="34"/>
        <v>Medium</v>
      </c>
      <c r="R399" s="4">
        <v>959193</v>
      </c>
      <c r="S399" s="2" t="b">
        <f t="shared" si="37"/>
        <v>0</v>
      </c>
      <c r="T399" s="4" t="s">
        <v>61</v>
      </c>
      <c r="U399" s="6" t="s">
        <v>48</v>
      </c>
    </row>
    <row r="400" spans="1:21" x14ac:dyDescent="0.3">
      <c r="A400" s="2" t="s">
        <v>460</v>
      </c>
      <c r="B400" s="8">
        <v>45631</v>
      </c>
      <c r="C400" s="2" t="s">
        <v>39</v>
      </c>
      <c r="D400" s="2" t="s">
        <v>40</v>
      </c>
      <c r="E400" s="2" t="s">
        <v>71</v>
      </c>
      <c r="F400" s="2" t="s">
        <v>76</v>
      </c>
      <c r="G400" s="2" t="s">
        <v>74</v>
      </c>
      <c r="H400" s="13">
        <v>54.1</v>
      </c>
      <c r="I400" s="2" t="str">
        <f t="shared" si="35"/>
        <v>Moderate Risk</v>
      </c>
      <c r="J400" s="2">
        <v>63.3</v>
      </c>
      <c r="K400" s="2" t="str">
        <f t="shared" si="33"/>
        <v>Moderate Confidence</v>
      </c>
      <c r="L400" s="2" t="s">
        <v>43</v>
      </c>
      <c r="M400" s="2" t="str">
        <f t="shared" si="36"/>
        <v>Human Content</v>
      </c>
      <c r="N400" s="2">
        <v>0.44500000000000001</v>
      </c>
      <c r="O400" s="2" t="s">
        <v>23</v>
      </c>
      <c r="P400" s="2">
        <v>4523972</v>
      </c>
      <c r="Q400" s="2" t="str">
        <f t="shared" si="34"/>
        <v>High</v>
      </c>
      <c r="R400" s="2">
        <v>5940863</v>
      </c>
      <c r="S400" s="2" t="str">
        <f t="shared" si="37"/>
        <v>Highly Viral</v>
      </c>
      <c r="T400" s="2" t="s">
        <v>44</v>
      </c>
      <c r="U400" s="5" t="s">
        <v>32</v>
      </c>
    </row>
    <row r="401" spans="1:21" x14ac:dyDescent="0.3">
      <c r="A401" s="4" t="s">
        <v>461</v>
      </c>
      <c r="B401" s="9">
        <v>45597</v>
      </c>
      <c r="C401" s="4" t="s">
        <v>54</v>
      </c>
      <c r="D401" s="4" t="s">
        <v>60</v>
      </c>
      <c r="E401" s="4" t="s">
        <v>88</v>
      </c>
      <c r="F401" s="4" t="s">
        <v>58</v>
      </c>
      <c r="G401" s="4" t="s">
        <v>42</v>
      </c>
      <c r="H401" s="14">
        <v>64</v>
      </c>
      <c r="I401" s="2" t="str">
        <f t="shared" si="35"/>
        <v>High Risk</v>
      </c>
      <c r="J401" s="4">
        <v>65.2</v>
      </c>
      <c r="K401" s="2" t="str">
        <f t="shared" si="33"/>
        <v>Moderate Confidence</v>
      </c>
      <c r="L401" s="4" t="s">
        <v>30</v>
      </c>
      <c r="M401" s="2" t="str">
        <f t="shared" si="36"/>
        <v>AI Generated</v>
      </c>
      <c r="N401" s="4">
        <v>0.34699999999999998</v>
      </c>
      <c r="O401" s="4" t="s">
        <v>23</v>
      </c>
      <c r="P401" s="4">
        <v>1905391</v>
      </c>
      <c r="Q401" s="2" t="str">
        <f t="shared" si="34"/>
        <v>Medium</v>
      </c>
      <c r="R401" s="4">
        <v>3005434</v>
      </c>
      <c r="S401" s="2" t="str">
        <f t="shared" si="37"/>
        <v>Moderately Viral</v>
      </c>
      <c r="T401" s="4" t="s">
        <v>24</v>
      </c>
      <c r="U401" s="5" t="s">
        <v>32</v>
      </c>
    </row>
    <row r="402" spans="1:21" x14ac:dyDescent="0.3">
      <c r="A402" s="2" t="s">
        <v>462</v>
      </c>
      <c r="B402" s="8">
        <v>45449</v>
      </c>
      <c r="C402" s="2" t="s">
        <v>39</v>
      </c>
      <c r="D402" s="2" t="s">
        <v>55</v>
      </c>
      <c r="E402" s="2" t="s">
        <v>19</v>
      </c>
      <c r="F402" s="2" t="s">
        <v>20</v>
      </c>
      <c r="G402" s="2" t="s">
        <v>64</v>
      </c>
      <c r="H402" s="13">
        <v>1.1000000000000001</v>
      </c>
      <c r="I402" s="2" t="str">
        <f t="shared" si="35"/>
        <v>Moderate Risk</v>
      </c>
      <c r="J402" s="2">
        <v>75.599999999999994</v>
      </c>
      <c r="K402" s="2" t="str">
        <f t="shared" si="33"/>
        <v>High Confidence</v>
      </c>
      <c r="L402" s="2" t="s">
        <v>22</v>
      </c>
      <c r="M402" s="2" t="str">
        <f t="shared" si="36"/>
        <v>Human Content</v>
      </c>
      <c r="N402" s="2">
        <v>0.75800000000000001</v>
      </c>
      <c r="O402" s="2" t="s">
        <v>30</v>
      </c>
      <c r="P402" s="2">
        <v>2884815</v>
      </c>
      <c r="Q402" s="2" t="str">
        <f t="shared" si="34"/>
        <v>Medium</v>
      </c>
      <c r="R402" s="2">
        <v>9622644</v>
      </c>
      <c r="S402" s="2" t="str">
        <f t="shared" si="37"/>
        <v>Highly Viral</v>
      </c>
      <c r="T402" s="2" t="s">
        <v>24</v>
      </c>
      <c r="U402" s="3" t="s">
        <v>25</v>
      </c>
    </row>
    <row r="403" spans="1:21" x14ac:dyDescent="0.3">
      <c r="A403" s="4" t="s">
        <v>463</v>
      </c>
      <c r="B403" s="9">
        <v>45565</v>
      </c>
      <c r="C403" s="4" t="s">
        <v>27</v>
      </c>
      <c r="D403" s="4" t="s">
        <v>55</v>
      </c>
      <c r="E403" s="4" t="s">
        <v>71</v>
      </c>
      <c r="F403" s="4" t="s">
        <v>52</v>
      </c>
      <c r="G403" s="4" t="s">
        <v>67</v>
      </c>
      <c r="H403" s="14">
        <v>76.599999999999994</v>
      </c>
      <c r="I403" s="2" t="str">
        <f t="shared" si="35"/>
        <v>High Risk</v>
      </c>
      <c r="J403" s="4">
        <v>89.1</v>
      </c>
      <c r="K403" s="2" t="str">
        <f t="shared" si="33"/>
        <v>High Confidence</v>
      </c>
      <c r="L403" s="4" t="s">
        <v>30</v>
      </c>
      <c r="M403" s="2" t="str">
        <f t="shared" si="36"/>
        <v>AI Generated</v>
      </c>
      <c r="N403" s="4">
        <v>0.59699999999999998</v>
      </c>
      <c r="O403" s="4" t="s">
        <v>30</v>
      </c>
      <c r="P403" s="4">
        <v>4598837</v>
      </c>
      <c r="Q403" s="2" t="str">
        <f t="shared" si="34"/>
        <v>High</v>
      </c>
      <c r="R403" s="4">
        <v>12537908</v>
      </c>
      <c r="S403" s="2" t="str">
        <f t="shared" si="37"/>
        <v>Highly Viral</v>
      </c>
      <c r="T403" s="4" t="s">
        <v>31</v>
      </c>
      <c r="U403" s="6" t="s">
        <v>48</v>
      </c>
    </row>
    <row r="404" spans="1:21" x14ac:dyDescent="0.3">
      <c r="A404" s="2" t="s">
        <v>464</v>
      </c>
      <c r="B404" s="8">
        <v>45502</v>
      </c>
      <c r="C404" s="2" t="s">
        <v>78</v>
      </c>
      <c r="D404" s="2" t="s">
        <v>55</v>
      </c>
      <c r="E404" s="2" t="s">
        <v>28</v>
      </c>
      <c r="F404" s="2" t="s">
        <v>20</v>
      </c>
      <c r="G404" s="2" t="s">
        <v>42</v>
      </c>
      <c r="H404" s="13">
        <v>73.7</v>
      </c>
      <c r="I404" s="2" t="str">
        <f t="shared" si="35"/>
        <v>High Risk</v>
      </c>
      <c r="J404" s="2">
        <v>69.099999999999994</v>
      </c>
      <c r="K404" s="2" t="str">
        <f t="shared" si="33"/>
        <v>Moderate Confidence</v>
      </c>
      <c r="L404" s="2" t="s">
        <v>30</v>
      </c>
      <c r="M404" s="2" t="str">
        <f t="shared" si="36"/>
        <v>AI Generated</v>
      </c>
      <c r="N404" s="2">
        <v>0.378</v>
      </c>
      <c r="O404" s="2" t="s">
        <v>22</v>
      </c>
      <c r="P404" s="2">
        <v>664559</v>
      </c>
      <c r="Q404" s="2" t="str">
        <f t="shared" si="34"/>
        <v>Low</v>
      </c>
      <c r="R404" s="2">
        <v>14168502</v>
      </c>
      <c r="S404" s="2" t="str">
        <f t="shared" si="37"/>
        <v>Highly Viral</v>
      </c>
      <c r="T404" s="2" t="s">
        <v>31</v>
      </c>
      <c r="U404" s="6" t="s">
        <v>48</v>
      </c>
    </row>
    <row r="405" spans="1:21" x14ac:dyDescent="0.3">
      <c r="A405" s="4" t="s">
        <v>465</v>
      </c>
      <c r="B405" s="9">
        <v>45556</v>
      </c>
      <c r="C405" s="4" t="s">
        <v>34</v>
      </c>
      <c r="D405" s="4" t="s">
        <v>40</v>
      </c>
      <c r="E405" s="4" t="s">
        <v>19</v>
      </c>
      <c r="F405" s="4" t="s">
        <v>76</v>
      </c>
      <c r="G405" s="4" t="s">
        <v>21</v>
      </c>
      <c r="H405" s="14">
        <v>85.3</v>
      </c>
      <c r="I405" s="2" t="str">
        <f t="shared" si="35"/>
        <v>High Risk</v>
      </c>
      <c r="J405" s="4">
        <v>58.9</v>
      </c>
      <c r="K405" s="2" t="str">
        <f t="shared" si="33"/>
        <v>Moderate Confidence</v>
      </c>
      <c r="L405" s="4" t="s">
        <v>30</v>
      </c>
      <c r="M405" s="2" t="str">
        <f t="shared" si="36"/>
        <v>AI Generated</v>
      </c>
      <c r="N405" s="4">
        <v>0.28999999999999998</v>
      </c>
      <c r="O405" s="4" t="s">
        <v>23</v>
      </c>
      <c r="P405" s="4">
        <v>3819794</v>
      </c>
      <c r="Q405" s="2" t="str">
        <f t="shared" si="34"/>
        <v>Medium</v>
      </c>
      <c r="R405" s="4">
        <v>15192847</v>
      </c>
      <c r="S405" s="2" t="str">
        <f t="shared" si="37"/>
        <v>Highly Viral</v>
      </c>
      <c r="T405" s="4" t="s">
        <v>56</v>
      </c>
      <c r="U405" s="6" t="s">
        <v>48</v>
      </c>
    </row>
    <row r="406" spans="1:21" x14ac:dyDescent="0.3">
      <c r="A406" s="2" t="s">
        <v>466</v>
      </c>
      <c r="B406" s="8">
        <v>45650</v>
      </c>
      <c r="C406" s="2" t="s">
        <v>54</v>
      </c>
      <c r="D406" s="2" t="s">
        <v>50</v>
      </c>
      <c r="E406" s="2" t="s">
        <v>51</v>
      </c>
      <c r="F406" s="2" t="s">
        <v>41</v>
      </c>
      <c r="G406" s="2" t="s">
        <v>21</v>
      </c>
      <c r="H406" s="13">
        <v>5</v>
      </c>
      <c r="I406" s="2" t="str">
        <f t="shared" si="35"/>
        <v>Moderate Risk</v>
      </c>
      <c r="J406" s="2">
        <v>76.2</v>
      </c>
      <c r="K406" s="2" t="str">
        <f t="shared" si="33"/>
        <v>High Confidence</v>
      </c>
      <c r="L406" s="2" t="s">
        <v>22</v>
      </c>
      <c r="M406" s="2" t="str">
        <f t="shared" si="36"/>
        <v>Human Content</v>
      </c>
      <c r="N406" s="2">
        <v>0.186</v>
      </c>
      <c r="O406" s="2" t="s">
        <v>30</v>
      </c>
      <c r="P406" s="2">
        <v>2366648</v>
      </c>
      <c r="Q406" s="2" t="str">
        <f t="shared" si="34"/>
        <v>Medium</v>
      </c>
      <c r="R406" s="2">
        <v>9033189</v>
      </c>
      <c r="S406" s="2" t="str">
        <f t="shared" si="37"/>
        <v>Highly Viral</v>
      </c>
      <c r="T406" s="2" t="s">
        <v>31</v>
      </c>
      <c r="U406" s="3" t="s">
        <v>25</v>
      </c>
    </row>
    <row r="407" spans="1:21" x14ac:dyDescent="0.3">
      <c r="A407" s="4" t="s">
        <v>467</v>
      </c>
      <c r="B407" s="9">
        <v>45516</v>
      </c>
      <c r="C407" s="4" t="s">
        <v>27</v>
      </c>
      <c r="D407" s="4" t="s">
        <v>50</v>
      </c>
      <c r="E407" s="4" t="s">
        <v>73</v>
      </c>
      <c r="F407" s="4" t="s">
        <v>20</v>
      </c>
      <c r="G407" s="4" t="s">
        <v>67</v>
      </c>
      <c r="H407" s="14">
        <v>49.4</v>
      </c>
      <c r="I407" s="2" t="str">
        <f t="shared" si="35"/>
        <v>Moderate Risk</v>
      </c>
      <c r="J407" s="4">
        <v>66.8</v>
      </c>
      <c r="K407" s="2" t="str">
        <f t="shared" si="33"/>
        <v>Moderate Confidence</v>
      </c>
      <c r="L407" s="4" t="s">
        <v>43</v>
      </c>
      <c r="M407" s="2" t="str">
        <f t="shared" si="36"/>
        <v>Human Content</v>
      </c>
      <c r="N407" s="4">
        <v>0.312</v>
      </c>
      <c r="O407" s="4" t="s">
        <v>22</v>
      </c>
      <c r="P407" s="4">
        <v>3115604</v>
      </c>
      <c r="Q407" s="2" t="str">
        <f t="shared" si="34"/>
        <v>Medium</v>
      </c>
      <c r="R407" s="4">
        <v>15559168</v>
      </c>
      <c r="S407" s="2" t="str">
        <f t="shared" si="37"/>
        <v>Highly Viral</v>
      </c>
      <c r="T407" s="4" t="s">
        <v>61</v>
      </c>
      <c r="U407" s="5" t="s">
        <v>32</v>
      </c>
    </row>
    <row r="408" spans="1:21" x14ac:dyDescent="0.3">
      <c r="A408" s="2" t="s">
        <v>468</v>
      </c>
      <c r="B408" s="8">
        <v>45461</v>
      </c>
      <c r="C408" s="2" t="s">
        <v>17</v>
      </c>
      <c r="D408" s="2" t="s">
        <v>50</v>
      </c>
      <c r="E408" s="2" t="s">
        <v>47</v>
      </c>
      <c r="F408" s="2" t="s">
        <v>52</v>
      </c>
      <c r="G408" s="2" t="s">
        <v>74</v>
      </c>
      <c r="H408" s="13">
        <v>39.200000000000003</v>
      </c>
      <c r="I408" s="2" t="str">
        <f t="shared" si="35"/>
        <v>Moderate Risk</v>
      </c>
      <c r="J408" s="2">
        <v>76.599999999999994</v>
      </c>
      <c r="K408" s="2" t="str">
        <f t="shared" si="33"/>
        <v>High Confidence</v>
      </c>
      <c r="L408" s="2" t="s">
        <v>43</v>
      </c>
      <c r="M408" s="2" t="str">
        <f t="shared" si="36"/>
        <v>Human Content</v>
      </c>
      <c r="N408" s="2">
        <v>0.182</v>
      </c>
      <c r="O408" s="2" t="s">
        <v>22</v>
      </c>
      <c r="P408" s="2">
        <v>3201003</v>
      </c>
      <c r="Q408" s="2" t="str">
        <f t="shared" si="34"/>
        <v>Medium</v>
      </c>
      <c r="R408" s="2">
        <v>423805</v>
      </c>
      <c r="S408" s="2" t="str">
        <f t="shared" si="37"/>
        <v>Low Viral</v>
      </c>
      <c r="T408" s="2" t="s">
        <v>61</v>
      </c>
      <c r="U408" s="5" t="s">
        <v>32</v>
      </c>
    </row>
    <row r="409" spans="1:21" x14ac:dyDescent="0.3">
      <c r="A409" s="4" t="s">
        <v>469</v>
      </c>
      <c r="B409" s="9">
        <v>45419</v>
      </c>
      <c r="C409" s="4" t="s">
        <v>78</v>
      </c>
      <c r="D409" s="4" t="s">
        <v>55</v>
      </c>
      <c r="E409" s="4" t="s">
        <v>28</v>
      </c>
      <c r="F409" s="4" t="s">
        <v>36</v>
      </c>
      <c r="G409" s="4" t="s">
        <v>67</v>
      </c>
      <c r="H409" s="14">
        <v>19.899999999999999</v>
      </c>
      <c r="I409" s="2" t="str">
        <f t="shared" si="35"/>
        <v>Moderate Risk</v>
      </c>
      <c r="J409" s="4">
        <v>86</v>
      </c>
      <c r="K409" s="2" t="str">
        <f t="shared" ref="K409:K472" si="38">IF(J409&gt;70,"High Confidence",IF(J409&gt;30,"Moderate Confidence",IF(J409&lt;30,"Low Confidence")))</f>
        <v>High Confidence</v>
      </c>
      <c r="L409" s="4" t="s">
        <v>22</v>
      </c>
      <c r="M409" s="2" t="str">
        <f t="shared" si="36"/>
        <v>Human Content</v>
      </c>
      <c r="N409" s="4">
        <v>9.4E-2</v>
      </c>
      <c r="O409" s="4" t="s">
        <v>23</v>
      </c>
      <c r="P409" s="4">
        <v>1748681</v>
      </c>
      <c r="Q409" s="2" t="str">
        <f t="shared" si="34"/>
        <v>Medium</v>
      </c>
      <c r="R409" s="4">
        <v>15865892</v>
      </c>
      <c r="S409" s="2" t="str">
        <f t="shared" si="37"/>
        <v>Highly Viral</v>
      </c>
      <c r="T409" s="4" t="s">
        <v>24</v>
      </c>
      <c r="U409" s="3" t="s">
        <v>25</v>
      </c>
    </row>
    <row r="410" spans="1:21" x14ac:dyDescent="0.3">
      <c r="A410" s="2" t="s">
        <v>470</v>
      </c>
      <c r="B410" s="8">
        <v>45640</v>
      </c>
      <c r="C410" s="2" t="s">
        <v>34</v>
      </c>
      <c r="D410" s="2" t="s">
        <v>40</v>
      </c>
      <c r="E410" s="2" t="s">
        <v>35</v>
      </c>
      <c r="F410" s="2" t="s">
        <v>36</v>
      </c>
      <c r="G410" s="2" t="s">
        <v>42</v>
      </c>
      <c r="H410" s="13">
        <v>4.2</v>
      </c>
      <c r="I410" s="2" t="str">
        <f t="shared" si="35"/>
        <v>Moderate Risk</v>
      </c>
      <c r="J410" s="2">
        <v>95.9</v>
      </c>
      <c r="K410" s="2" t="str">
        <f t="shared" si="38"/>
        <v>High Confidence</v>
      </c>
      <c r="L410" s="2" t="s">
        <v>22</v>
      </c>
      <c r="M410" s="2" t="str">
        <f t="shared" si="36"/>
        <v>Human Content</v>
      </c>
      <c r="N410" s="2">
        <v>0.52100000000000002</v>
      </c>
      <c r="O410" s="2" t="s">
        <v>22</v>
      </c>
      <c r="P410" s="2">
        <v>4036946</v>
      </c>
      <c r="Q410" s="2" t="str">
        <f t="shared" si="34"/>
        <v>High</v>
      </c>
      <c r="R410" s="2">
        <v>10027003</v>
      </c>
      <c r="S410" s="2" t="str">
        <f t="shared" si="37"/>
        <v>Highly Viral</v>
      </c>
      <c r="T410" s="2" t="s">
        <v>31</v>
      </c>
      <c r="U410" s="3" t="s">
        <v>25</v>
      </c>
    </row>
    <row r="411" spans="1:21" x14ac:dyDescent="0.3">
      <c r="A411" s="4" t="s">
        <v>471</v>
      </c>
      <c r="B411" s="9">
        <v>45476</v>
      </c>
      <c r="C411" s="4" t="s">
        <v>27</v>
      </c>
      <c r="D411" s="4" t="s">
        <v>50</v>
      </c>
      <c r="E411" s="4" t="s">
        <v>73</v>
      </c>
      <c r="F411" s="4" t="s">
        <v>20</v>
      </c>
      <c r="G411" s="4" t="s">
        <v>42</v>
      </c>
      <c r="H411" s="14">
        <v>43.4</v>
      </c>
      <c r="I411" s="2" t="str">
        <f t="shared" si="35"/>
        <v>Moderate Risk</v>
      </c>
      <c r="J411" s="4">
        <v>50.7</v>
      </c>
      <c r="K411" s="2" t="str">
        <f t="shared" si="38"/>
        <v>Moderate Confidence</v>
      </c>
      <c r="L411" s="4" t="s">
        <v>43</v>
      </c>
      <c r="M411" s="2" t="str">
        <f t="shared" si="36"/>
        <v>Human Content</v>
      </c>
      <c r="N411" s="4">
        <v>0.79400000000000004</v>
      </c>
      <c r="O411" s="4" t="s">
        <v>23</v>
      </c>
      <c r="P411" s="4">
        <v>1003793</v>
      </c>
      <c r="Q411" s="2" t="str">
        <f t="shared" si="34"/>
        <v>Medium</v>
      </c>
      <c r="R411" s="4">
        <v>13281622</v>
      </c>
      <c r="S411" s="2" t="str">
        <f t="shared" si="37"/>
        <v>Highly Viral</v>
      </c>
      <c r="T411" s="4" t="s">
        <v>31</v>
      </c>
      <c r="U411" s="5" t="s">
        <v>32</v>
      </c>
    </row>
    <row r="412" spans="1:21" x14ac:dyDescent="0.3">
      <c r="A412" s="2" t="s">
        <v>472</v>
      </c>
      <c r="B412" s="8">
        <v>45296</v>
      </c>
      <c r="C412" s="2" t="s">
        <v>27</v>
      </c>
      <c r="D412" s="2" t="s">
        <v>60</v>
      </c>
      <c r="E412" s="2" t="s">
        <v>71</v>
      </c>
      <c r="F412" s="2" t="s">
        <v>36</v>
      </c>
      <c r="G412" s="2" t="s">
        <v>29</v>
      </c>
      <c r="H412" s="13">
        <v>15.5</v>
      </c>
      <c r="I412" s="2" t="str">
        <f t="shared" si="35"/>
        <v>Moderate Risk</v>
      </c>
      <c r="J412" s="2">
        <v>87.8</v>
      </c>
      <c r="K412" s="2" t="str">
        <f t="shared" si="38"/>
        <v>High Confidence</v>
      </c>
      <c r="L412" s="2" t="s">
        <v>22</v>
      </c>
      <c r="M412" s="2" t="str">
        <f t="shared" si="36"/>
        <v>Human Content</v>
      </c>
      <c r="N412" s="2">
        <v>0.249</v>
      </c>
      <c r="O412" s="2" t="s">
        <v>22</v>
      </c>
      <c r="P412" s="2">
        <v>766831</v>
      </c>
      <c r="Q412" s="2" t="str">
        <f t="shared" si="34"/>
        <v>Low</v>
      </c>
      <c r="R412" s="2">
        <v>11356061</v>
      </c>
      <c r="S412" s="2" t="str">
        <f t="shared" si="37"/>
        <v>Highly Viral</v>
      </c>
      <c r="T412" s="2" t="s">
        <v>61</v>
      </c>
      <c r="U412" s="3" t="s">
        <v>25</v>
      </c>
    </row>
    <row r="413" spans="1:21" x14ac:dyDescent="0.3">
      <c r="A413" s="4" t="s">
        <v>473</v>
      </c>
      <c r="B413" s="9">
        <v>45322</v>
      </c>
      <c r="C413" s="4" t="s">
        <v>39</v>
      </c>
      <c r="D413" s="4" t="s">
        <v>50</v>
      </c>
      <c r="E413" s="4" t="s">
        <v>73</v>
      </c>
      <c r="F413" s="4" t="s">
        <v>20</v>
      </c>
      <c r="G413" s="4" t="s">
        <v>37</v>
      </c>
      <c r="H413" s="14">
        <v>23.3</v>
      </c>
      <c r="I413" s="2" t="str">
        <f t="shared" si="35"/>
        <v>Moderate Risk</v>
      </c>
      <c r="J413" s="4">
        <v>98.1</v>
      </c>
      <c r="K413" s="2" t="str">
        <f t="shared" si="38"/>
        <v>High Confidence</v>
      </c>
      <c r="L413" s="4" t="s">
        <v>22</v>
      </c>
      <c r="M413" s="2" t="str">
        <f t="shared" si="36"/>
        <v>Human Content</v>
      </c>
      <c r="N413" s="4">
        <v>0.78900000000000003</v>
      </c>
      <c r="O413" s="4" t="s">
        <v>22</v>
      </c>
      <c r="P413" s="4">
        <v>3680340</v>
      </c>
      <c r="Q413" s="2" t="str">
        <f t="shared" si="34"/>
        <v>Medium</v>
      </c>
      <c r="R413" s="4">
        <v>6475341</v>
      </c>
      <c r="S413" s="2" t="str">
        <f t="shared" si="37"/>
        <v>Highly Viral</v>
      </c>
      <c r="T413" s="4" t="s">
        <v>61</v>
      </c>
      <c r="U413" s="3" t="s">
        <v>25</v>
      </c>
    </row>
    <row r="414" spans="1:21" x14ac:dyDescent="0.3">
      <c r="A414" s="2" t="s">
        <v>474</v>
      </c>
      <c r="B414" s="8">
        <v>45644</v>
      </c>
      <c r="C414" s="2" t="s">
        <v>78</v>
      </c>
      <c r="D414" s="2" t="s">
        <v>40</v>
      </c>
      <c r="E414" s="2" t="s">
        <v>35</v>
      </c>
      <c r="F414" s="2" t="s">
        <v>52</v>
      </c>
      <c r="G414" s="2" t="s">
        <v>67</v>
      </c>
      <c r="H414" s="13">
        <v>48.5</v>
      </c>
      <c r="I414" s="2" t="str">
        <f t="shared" si="35"/>
        <v>Moderate Risk</v>
      </c>
      <c r="J414" s="2">
        <v>71.400000000000006</v>
      </c>
      <c r="K414" s="2" t="str">
        <f t="shared" si="38"/>
        <v>High Confidence</v>
      </c>
      <c r="L414" s="2" t="s">
        <v>43</v>
      </c>
      <c r="M414" s="2" t="str">
        <f t="shared" si="36"/>
        <v>Human Content</v>
      </c>
      <c r="N414" s="2">
        <v>0.29499999999999998</v>
      </c>
      <c r="O414" s="2" t="s">
        <v>23</v>
      </c>
      <c r="P414" s="2">
        <v>4111289</v>
      </c>
      <c r="Q414" s="2" t="str">
        <f t="shared" si="34"/>
        <v>High</v>
      </c>
      <c r="R414" s="2">
        <v>6368320</v>
      </c>
      <c r="S414" s="2" t="str">
        <f t="shared" si="37"/>
        <v>Highly Viral</v>
      </c>
      <c r="T414" s="2" t="s">
        <v>44</v>
      </c>
      <c r="U414" s="5" t="s">
        <v>32</v>
      </c>
    </row>
    <row r="415" spans="1:21" x14ac:dyDescent="0.3">
      <c r="A415" s="4" t="s">
        <v>475</v>
      </c>
      <c r="B415" s="9">
        <v>45387</v>
      </c>
      <c r="C415" s="4" t="s">
        <v>39</v>
      </c>
      <c r="D415" s="4" t="s">
        <v>40</v>
      </c>
      <c r="E415" s="4" t="s">
        <v>71</v>
      </c>
      <c r="F415" s="4" t="s">
        <v>52</v>
      </c>
      <c r="G415" s="4" t="s">
        <v>74</v>
      </c>
      <c r="H415" s="14">
        <v>83.1</v>
      </c>
      <c r="I415" s="2" t="str">
        <f t="shared" si="35"/>
        <v>High Risk</v>
      </c>
      <c r="J415" s="4">
        <v>94.8</v>
      </c>
      <c r="K415" s="2" t="str">
        <f t="shared" si="38"/>
        <v>High Confidence</v>
      </c>
      <c r="L415" s="4" t="s">
        <v>30</v>
      </c>
      <c r="M415" s="2" t="str">
        <f t="shared" si="36"/>
        <v>AI Generated</v>
      </c>
      <c r="N415" s="4">
        <v>0.55500000000000005</v>
      </c>
      <c r="O415" s="4" t="s">
        <v>30</v>
      </c>
      <c r="P415" s="4">
        <v>4455603</v>
      </c>
      <c r="Q415" s="2" t="str">
        <f t="shared" si="34"/>
        <v>High</v>
      </c>
      <c r="R415" s="4">
        <v>5202291</v>
      </c>
      <c r="S415" s="2" t="str">
        <f t="shared" si="37"/>
        <v>Highly Viral</v>
      </c>
      <c r="T415" s="4" t="s">
        <v>24</v>
      </c>
      <c r="U415" s="6" t="s">
        <v>48</v>
      </c>
    </row>
    <row r="416" spans="1:21" x14ac:dyDescent="0.3">
      <c r="A416" s="2" t="s">
        <v>476</v>
      </c>
      <c r="B416" s="8">
        <v>45443</v>
      </c>
      <c r="C416" s="2" t="s">
        <v>34</v>
      </c>
      <c r="D416" s="2" t="s">
        <v>60</v>
      </c>
      <c r="E416" s="2" t="s">
        <v>51</v>
      </c>
      <c r="F416" s="2" t="s">
        <v>76</v>
      </c>
      <c r="G416" s="2" t="s">
        <v>67</v>
      </c>
      <c r="H416" s="13">
        <v>77.599999999999994</v>
      </c>
      <c r="I416" s="2" t="str">
        <f t="shared" si="35"/>
        <v>High Risk</v>
      </c>
      <c r="J416" s="2">
        <v>74.8</v>
      </c>
      <c r="K416" s="2" t="str">
        <f t="shared" si="38"/>
        <v>High Confidence</v>
      </c>
      <c r="L416" s="2" t="s">
        <v>30</v>
      </c>
      <c r="M416" s="2" t="str">
        <f t="shared" si="36"/>
        <v>AI Generated</v>
      </c>
      <c r="N416" s="2">
        <v>0.73399999999999999</v>
      </c>
      <c r="O416" s="2" t="s">
        <v>30</v>
      </c>
      <c r="P416" s="2">
        <v>3054184</v>
      </c>
      <c r="Q416" s="2" t="str">
        <f t="shared" si="34"/>
        <v>Medium</v>
      </c>
      <c r="R416" s="2">
        <v>8012847</v>
      </c>
      <c r="S416" s="2" t="str">
        <f t="shared" si="37"/>
        <v>Highly Viral</v>
      </c>
      <c r="T416" s="2" t="s">
        <v>56</v>
      </c>
      <c r="U416" s="6" t="s">
        <v>48</v>
      </c>
    </row>
    <row r="417" spans="1:21" x14ac:dyDescent="0.3">
      <c r="A417" s="4" t="s">
        <v>477</v>
      </c>
      <c r="B417" s="9">
        <v>45324</v>
      </c>
      <c r="C417" s="4" t="s">
        <v>78</v>
      </c>
      <c r="D417" s="4" t="s">
        <v>50</v>
      </c>
      <c r="E417" s="4" t="s">
        <v>71</v>
      </c>
      <c r="F417" s="4" t="s">
        <v>58</v>
      </c>
      <c r="G417" s="4" t="s">
        <v>21</v>
      </c>
      <c r="H417" s="14">
        <v>61.3</v>
      </c>
      <c r="I417" s="2" t="str">
        <f t="shared" si="35"/>
        <v>High Risk</v>
      </c>
      <c r="J417" s="4">
        <v>65.8</v>
      </c>
      <c r="K417" s="2" t="str">
        <f t="shared" si="38"/>
        <v>Moderate Confidence</v>
      </c>
      <c r="L417" s="4" t="s">
        <v>30</v>
      </c>
      <c r="M417" s="2" t="str">
        <f t="shared" si="36"/>
        <v>AI Generated</v>
      </c>
      <c r="N417" s="4">
        <v>0.64100000000000001</v>
      </c>
      <c r="O417" s="4" t="s">
        <v>30</v>
      </c>
      <c r="P417" s="4">
        <v>807556</v>
      </c>
      <c r="Q417" s="2" t="str">
        <f t="shared" si="34"/>
        <v>Low</v>
      </c>
      <c r="R417" s="4">
        <v>17556196</v>
      </c>
      <c r="S417" s="2" t="str">
        <f t="shared" si="37"/>
        <v>Highly Viral</v>
      </c>
      <c r="T417" s="4" t="s">
        <v>61</v>
      </c>
      <c r="U417" s="5" t="s">
        <v>32</v>
      </c>
    </row>
    <row r="418" spans="1:21" x14ac:dyDescent="0.3">
      <c r="A418" s="2" t="s">
        <v>478</v>
      </c>
      <c r="B418" s="8">
        <v>45314</v>
      </c>
      <c r="C418" s="2" t="s">
        <v>69</v>
      </c>
      <c r="D418" s="2" t="s">
        <v>50</v>
      </c>
      <c r="E418" s="2" t="s">
        <v>47</v>
      </c>
      <c r="F418" s="2" t="s">
        <v>20</v>
      </c>
      <c r="G418" s="2" t="s">
        <v>67</v>
      </c>
      <c r="H418" s="13">
        <v>48.5</v>
      </c>
      <c r="I418" s="2" t="str">
        <f t="shared" si="35"/>
        <v>Moderate Risk</v>
      </c>
      <c r="J418" s="2">
        <v>54.8</v>
      </c>
      <c r="K418" s="2" t="str">
        <f t="shared" si="38"/>
        <v>Moderate Confidence</v>
      </c>
      <c r="L418" s="2" t="s">
        <v>43</v>
      </c>
      <c r="M418" s="2" t="str">
        <f t="shared" si="36"/>
        <v>Human Content</v>
      </c>
      <c r="N418" s="2">
        <v>0.57099999999999995</v>
      </c>
      <c r="O418" s="2" t="s">
        <v>22</v>
      </c>
      <c r="P418" s="2">
        <v>4109759</v>
      </c>
      <c r="Q418" s="2" t="str">
        <f t="shared" si="34"/>
        <v>High</v>
      </c>
      <c r="R418" s="2">
        <v>17644137</v>
      </c>
      <c r="S418" s="2" t="str">
        <f t="shared" si="37"/>
        <v>Highly Viral</v>
      </c>
      <c r="T418" s="2" t="s">
        <v>44</v>
      </c>
      <c r="U418" s="5" t="s">
        <v>32</v>
      </c>
    </row>
    <row r="419" spans="1:21" x14ac:dyDescent="0.3">
      <c r="A419" s="4" t="s">
        <v>479</v>
      </c>
      <c r="B419" s="9">
        <v>45651</v>
      </c>
      <c r="C419" s="4" t="s">
        <v>34</v>
      </c>
      <c r="D419" s="4" t="s">
        <v>18</v>
      </c>
      <c r="E419" s="4" t="s">
        <v>51</v>
      </c>
      <c r="F419" s="4" t="s">
        <v>20</v>
      </c>
      <c r="G419" s="4" t="s">
        <v>29</v>
      </c>
      <c r="H419" s="14">
        <v>71.8</v>
      </c>
      <c r="I419" s="2" t="str">
        <f t="shared" si="35"/>
        <v>High Risk</v>
      </c>
      <c r="J419" s="4">
        <v>50.6</v>
      </c>
      <c r="K419" s="2" t="str">
        <f t="shared" si="38"/>
        <v>Moderate Confidence</v>
      </c>
      <c r="L419" s="4" t="s">
        <v>30</v>
      </c>
      <c r="M419" s="2" t="str">
        <f t="shared" si="36"/>
        <v>AI Generated</v>
      </c>
      <c r="N419" s="4">
        <v>0.92100000000000004</v>
      </c>
      <c r="O419" s="4" t="s">
        <v>23</v>
      </c>
      <c r="P419" s="4">
        <v>4122308</v>
      </c>
      <c r="Q419" s="2" t="str">
        <f t="shared" si="34"/>
        <v>High</v>
      </c>
      <c r="R419" s="4">
        <v>2683405</v>
      </c>
      <c r="S419" s="2" t="str">
        <f t="shared" si="37"/>
        <v>Moderately Viral</v>
      </c>
      <c r="T419" s="4" t="s">
        <v>24</v>
      </c>
      <c r="U419" s="6" t="s">
        <v>48</v>
      </c>
    </row>
    <row r="420" spans="1:21" x14ac:dyDescent="0.3">
      <c r="A420" s="2" t="s">
        <v>480</v>
      </c>
      <c r="B420" s="8">
        <v>45619</v>
      </c>
      <c r="C420" s="2" t="s">
        <v>27</v>
      </c>
      <c r="D420" s="2" t="s">
        <v>40</v>
      </c>
      <c r="E420" s="2" t="s">
        <v>88</v>
      </c>
      <c r="F420" s="2" t="s">
        <v>52</v>
      </c>
      <c r="G420" s="2" t="s">
        <v>74</v>
      </c>
      <c r="H420" s="13">
        <v>70.8</v>
      </c>
      <c r="I420" s="2" t="str">
        <f t="shared" si="35"/>
        <v>High Risk</v>
      </c>
      <c r="J420" s="2">
        <v>90.4</v>
      </c>
      <c r="K420" s="2" t="str">
        <f t="shared" si="38"/>
        <v>High Confidence</v>
      </c>
      <c r="L420" s="2" t="s">
        <v>30</v>
      </c>
      <c r="M420" s="2" t="str">
        <f t="shared" si="36"/>
        <v>AI Generated</v>
      </c>
      <c r="N420" s="2">
        <v>0.26600000000000001</v>
      </c>
      <c r="O420" s="2" t="s">
        <v>30</v>
      </c>
      <c r="P420" s="2">
        <v>590558</v>
      </c>
      <c r="Q420" s="2" t="str">
        <f t="shared" si="34"/>
        <v>Low</v>
      </c>
      <c r="R420" s="2">
        <v>10197844</v>
      </c>
      <c r="S420" s="2" t="str">
        <f t="shared" si="37"/>
        <v>Highly Viral</v>
      </c>
      <c r="T420" s="2" t="s">
        <v>61</v>
      </c>
      <c r="U420" s="6" t="s">
        <v>48</v>
      </c>
    </row>
    <row r="421" spans="1:21" x14ac:dyDescent="0.3">
      <c r="A421" s="4" t="s">
        <v>481</v>
      </c>
      <c r="B421" s="9">
        <v>45402</v>
      </c>
      <c r="C421" s="4" t="s">
        <v>17</v>
      </c>
      <c r="D421" s="4" t="s">
        <v>18</v>
      </c>
      <c r="E421" s="4" t="s">
        <v>28</v>
      </c>
      <c r="F421" s="4" t="s">
        <v>58</v>
      </c>
      <c r="G421" s="4" t="s">
        <v>37</v>
      </c>
      <c r="H421" s="14">
        <v>18.899999999999999</v>
      </c>
      <c r="I421" s="2" t="str">
        <f t="shared" si="35"/>
        <v>Moderate Risk</v>
      </c>
      <c r="J421" s="4">
        <v>75.8</v>
      </c>
      <c r="K421" s="2" t="str">
        <f t="shared" si="38"/>
        <v>High Confidence</v>
      </c>
      <c r="L421" s="4" t="s">
        <v>22</v>
      </c>
      <c r="M421" s="2" t="str">
        <f t="shared" si="36"/>
        <v>Human Content</v>
      </c>
      <c r="N421" s="4">
        <v>0.249</v>
      </c>
      <c r="O421" s="4" t="s">
        <v>23</v>
      </c>
      <c r="P421" s="4">
        <v>1500804</v>
      </c>
      <c r="Q421" s="2" t="str">
        <f t="shared" si="34"/>
        <v>Medium</v>
      </c>
      <c r="R421" s="4">
        <v>18738082</v>
      </c>
      <c r="S421" s="2" t="str">
        <f t="shared" si="37"/>
        <v>Highly Viral</v>
      </c>
      <c r="T421" s="4" t="s">
        <v>44</v>
      </c>
      <c r="U421" s="3" t="s">
        <v>25</v>
      </c>
    </row>
    <row r="422" spans="1:21" x14ac:dyDescent="0.3">
      <c r="A422" s="2" t="s">
        <v>482</v>
      </c>
      <c r="B422" s="8">
        <v>45504</v>
      </c>
      <c r="C422" s="2" t="s">
        <v>17</v>
      </c>
      <c r="D422" s="2" t="s">
        <v>60</v>
      </c>
      <c r="E422" s="2" t="s">
        <v>51</v>
      </c>
      <c r="F422" s="2" t="s">
        <v>36</v>
      </c>
      <c r="G422" s="2" t="s">
        <v>37</v>
      </c>
      <c r="H422" s="13">
        <v>70.3</v>
      </c>
      <c r="I422" s="2" t="str">
        <f t="shared" si="35"/>
        <v>High Risk</v>
      </c>
      <c r="J422" s="2">
        <v>70.900000000000006</v>
      </c>
      <c r="K422" s="2" t="str">
        <f t="shared" si="38"/>
        <v>High Confidence</v>
      </c>
      <c r="L422" s="2" t="s">
        <v>30</v>
      </c>
      <c r="M422" s="2" t="str">
        <f t="shared" si="36"/>
        <v>AI Generated</v>
      </c>
      <c r="N422" s="2">
        <v>0.104</v>
      </c>
      <c r="O422" s="2" t="s">
        <v>30</v>
      </c>
      <c r="P422" s="2">
        <v>4613544</v>
      </c>
      <c r="Q422" s="2" t="str">
        <f t="shared" si="34"/>
        <v>High</v>
      </c>
      <c r="R422" s="2">
        <v>13474522</v>
      </c>
      <c r="S422" s="2" t="str">
        <f t="shared" si="37"/>
        <v>Highly Viral</v>
      </c>
      <c r="T422" s="2" t="s">
        <v>44</v>
      </c>
      <c r="U422" s="6" t="s">
        <v>48</v>
      </c>
    </row>
    <row r="423" spans="1:21" x14ac:dyDescent="0.3">
      <c r="A423" s="4" t="s">
        <v>483</v>
      </c>
      <c r="B423" s="9">
        <v>45464</v>
      </c>
      <c r="C423" s="4" t="s">
        <v>69</v>
      </c>
      <c r="D423" s="4" t="s">
        <v>60</v>
      </c>
      <c r="E423" s="4" t="s">
        <v>71</v>
      </c>
      <c r="F423" s="4" t="s">
        <v>52</v>
      </c>
      <c r="G423" s="4" t="s">
        <v>64</v>
      </c>
      <c r="H423" s="14">
        <v>55</v>
      </c>
      <c r="I423" s="2" t="str">
        <f t="shared" si="35"/>
        <v>Moderate Risk</v>
      </c>
      <c r="J423" s="4">
        <v>98.8</v>
      </c>
      <c r="K423" s="2" t="str">
        <f t="shared" si="38"/>
        <v>High Confidence</v>
      </c>
      <c r="L423" s="4" t="s">
        <v>43</v>
      </c>
      <c r="M423" s="2" t="str">
        <f t="shared" si="36"/>
        <v>Human Content</v>
      </c>
      <c r="N423" s="4">
        <v>0.84499999999999997</v>
      </c>
      <c r="O423" s="4" t="s">
        <v>22</v>
      </c>
      <c r="P423" s="4">
        <v>3612134</v>
      </c>
      <c r="Q423" s="2" t="str">
        <f t="shared" ref="Q423:Q486" si="39">IF(P423&gt;4000000,"High",IF(P423&gt;1000000,"Medium",IF(P423&lt;1000000,"Low")))</f>
        <v>Medium</v>
      </c>
      <c r="R423" s="4">
        <v>10853711</v>
      </c>
      <c r="S423" s="2" t="str">
        <f t="shared" si="37"/>
        <v>Highly Viral</v>
      </c>
      <c r="T423" s="4" t="s">
        <v>44</v>
      </c>
      <c r="U423" s="5" t="s">
        <v>32</v>
      </c>
    </row>
    <row r="424" spans="1:21" x14ac:dyDescent="0.3">
      <c r="A424" s="2" t="s">
        <v>484</v>
      </c>
      <c r="B424" s="8">
        <v>45415</v>
      </c>
      <c r="C424" s="2" t="s">
        <v>46</v>
      </c>
      <c r="D424" s="2" t="s">
        <v>55</v>
      </c>
      <c r="E424" s="2" t="s">
        <v>19</v>
      </c>
      <c r="F424" s="2" t="s">
        <v>52</v>
      </c>
      <c r="G424" s="2" t="s">
        <v>37</v>
      </c>
      <c r="H424" s="13">
        <v>44.7</v>
      </c>
      <c r="I424" s="2" t="str">
        <f t="shared" si="35"/>
        <v>Moderate Risk</v>
      </c>
      <c r="J424" s="2">
        <v>69.5</v>
      </c>
      <c r="K424" s="2" t="str">
        <f t="shared" si="38"/>
        <v>Moderate Confidence</v>
      </c>
      <c r="L424" s="2" t="s">
        <v>43</v>
      </c>
      <c r="M424" s="2" t="str">
        <f t="shared" si="36"/>
        <v>Human Content</v>
      </c>
      <c r="N424" s="2">
        <v>0.72599999999999998</v>
      </c>
      <c r="O424" s="2" t="s">
        <v>22</v>
      </c>
      <c r="P424" s="2">
        <v>4997720</v>
      </c>
      <c r="Q424" s="2" t="str">
        <f t="shared" si="39"/>
        <v>High</v>
      </c>
      <c r="R424" s="2">
        <v>547519</v>
      </c>
      <c r="S424" s="2" t="b">
        <f t="shared" si="37"/>
        <v>0</v>
      </c>
      <c r="T424" s="2" t="s">
        <v>44</v>
      </c>
      <c r="U424" s="5" t="s">
        <v>32</v>
      </c>
    </row>
    <row r="425" spans="1:21" x14ac:dyDescent="0.3">
      <c r="A425" s="4" t="s">
        <v>485</v>
      </c>
      <c r="B425" s="9">
        <v>45361</v>
      </c>
      <c r="C425" s="4" t="s">
        <v>34</v>
      </c>
      <c r="D425" s="4" t="s">
        <v>18</v>
      </c>
      <c r="E425" s="4" t="s">
        <v>19</v>
      </c>
      <c r="F425" s="4" t="s">
        <v>20</v>
      </c>
      <c r="G425" s="4" t="s">
        <v>21</v>
      </c>
      <c r="H425" s="14">
        <v>85.6</v>
      </c>
      <c r="I425" s="2" t="str">
        <f t="shared" si="35"/>
        <v>High Risk</v>
      </c>
      <c r="J425" s="4">
        <v>51.1</v>
      </c>
      <c r="K425" s="2" t="str">
        <f t="shared" si="38"/>
        <v>Moderate Confidence</v>
      </c>
      <c r="L425" s="4" t="s">
        <v>30</v>
      </c>
      <c r="M425" s="2" t="str">
        <f t="shared" si="36"/>
        <v>AI Generated</v>
      </c>
      <c r="N425" s="4">
        <v>0.82199999999999995</v>
      </c>
      <c r="O425" s="4" t="s">
        <v>23</v>
      </c>
      <c r="P425" s="4">
        <v>2314996</v>
      </c>
      <c r="Q425" s="2" t="str">
        <f t="shared" si="39"/>
        <v>Medium</v>
      </c>
      <c r="R425" s="4">
        <v>18578352</v>
      </c>
      <c r="S425" s="2" t="str">
        <f t="shared" si="37"/>
        <v>Highly Viral</v>
      </c>
      <c r="T425" s="4" t="s">
        <v>44</v>
      </c>
      <c r="U425" s="6" t="s">
        <v>48</v>
      </c>
    </row>
    <row r="426" spans="1:21" x14ac:dyDescent="0.3">
      <c r="A426" s="2" t="s">
        <v>486</v>
      </c>
      <c r="B426" s="8">
        <v>45576</v>
      </c>
      <c r="C426" s="2" t="s">
        <v>69</v>
      </c>
      <c r="D426" s="2" t="s">
        <v>18</v>
      </c>
      <c r="E426" s="2" t="s">
        <v>47</v>
      </c>
      <c r="F426" s="2" t="s">
        <v>76</v>
      </c>
      <c r="G426" s="2" t="s">
        <v>64</v>
      </c>
      <c r="H426" s="13">
        <v>15.6</v>
      </c>
      <c r="I426" s="2" t="str">
        <f t="shared" si="35"/>
        <v>Moderate Risk</v>
      </c>
      <c r="J426" s="2">
        <v>63</v>
      </c>
      <c r="K426" s="2" t="str">
        <f t="shared" si="38"/>
        <v>Moderate Confidence</v>
      </c>
      <c r="L426" s="2" t="s">
        <v>22</v>
      </c>
      <c r="M426" s="2" t="str">
        <f t="shared" si="36"/>
        <v>Human Content</v>
      </c>
      <c r="N426" s="2">
        <v>0.89</v>
      </c>
      <c r="O426" s="2" t="s">
        <v>30</v>
      </c>
      <c r="P426" s="2">
        <v>1954596</v>
      </c>
      <c r="Q426" s="2" t="str">
        <f t="shared" si="39"/>
        <v>Medium</v>
      </c>
      <c r="R426" s="2">
        <v>8598616</v>
      </c>
      <c r="S426" s="2" t="str">
        <f t="shared" si="37"/>
        <v>Highly Viral</v>
      </c>
      <c r="T426" s="2" t="s">
        <v>56</v>
      </c>
      <c r="U426" s="3" t="s">
        <v>25</v>
      </c>
    </row>
    <row r="427" spans="1:21" x14ac:dyDescent="0.3">
      <c r="A427" s="4" t="s">
        <v>487</v>
      </c>
      <c r="B427" s="9">
        <v>45339</v>
      </c>
      <c r="C427" s="4" t="s">
        <v>78</v>
      </c>
      <c r="D427" s="4" t="s">
        <v>60</v>
      </c>
      <c r="E427" s="4" t="s">
        <v>28</v>
      </c>
      <c r="F427" s="4" t="s">
        <v>36</v>
      </c>
      <c r="G427" s="4" t="s">
        <v>67</v>
      </c>
      <c r="H427" s="14">
        <v>72.400000000000006</v>
      </c>
      <c r="I427" s="2" t="str">
        <f t="shared" si="35"/>
        <v>High Risk</v>
      </c>
      <c r="J427" s="4">
        <v>88.9</v>
      </c>
      <c r="K427" s="2" t="str">
        <f t="shared" si="38"/>
        <v>High Confidence</v>
      </c>
      <c r="L427" s="4" t="s">
        <v>30</v>
      </c>
      <c r="M427" s="2" t="str">
        <f t="shared" si="36"/>
        <v>AI Generated</v>
      </c>
      <c r="N427" s="4">
        <v>0.17299999999999999</v>
      </c>
      <c r="O427" s="4" t="s">
        <v>23</v>
      </c>
      <c r="P427" s="4">
        <v>4833888</v>
      </c>
      <c r="Q427" s="2" t="str">
        <f t="shared" si="39"/>
        <v>High</v>
      </c>
      <c r="R427" s="4">
        <v>3200386</v>
      </c>
      <c r="S427" s="2" t="str">
        <f t="shared" si="37"/>
        <v>Moderately Viral</v>
      </c>
      <c r="T427" s="4" t="s">
        <v>44</v>
      </c>
      <c r="U427" s="6" t="s">
        <v>48</v>
      </c>
    </row>
    <row r="428" spans="1:21" x14ac:dyDescent="0.3">
      <c r="A428" s="2" t="s">
        <v>488</v>
      </c>
      <c r="B428" s="8">
        <v>45620</v>
      </c>
      <c r="C428" s="2" t="s">
        <v>34</v>
      </c>
      <c r="D428" s="2" t="s">
        <v>18</v>
      </c>
      <c r="E428" s="2" t="s">
        <v>88</v>
      </c>
      <c r="F428" s="2" t="s">
        <v>41</v>
      </c>
      <c r="G428" s="2" t="s">
        <v>74</v>
      </c>
      <c r="H428" s="13">
        <v>5.6</v>
      </c>
      <c r="I428" s="2" t="str">
        <f t="shared" si="35"/>
        <v>Moderate Risk</v>
      </c>
      <c r="J428" s="2">
        <v>87.8</v>
      </c>
      <c r="K428" s="2" t="str">
        <f t="shared" si="38"/>
        <v>High Confidence</v>
      </c>
      <c r="L428" s="2" t="s">
        <v>22</v>
      </c>
      <c r="M428" s="2" t="str">
        <f t="shared" si="36"/>
        <v>Human Content</v>
      </c>
      <c r="N428" s="2">
        <v>0.34799999999999998</v>
      </c>
      <c r="O428" s="2" t="s">
        <v>22</v>
      </c>
      <c r="P428" s="2">
        <v>3494137</v>
      </c>
      <c r="Q428" s="2" t="str">
        <f t="shared" si="39"/>
        <v>Medium</v>
      </c>
      <c r="R428" s="2">
        <v>4045168</v>
      </c>
      <c r="S428" s="2" t="str">
        <f t="shared" si="37"/>
        <v>Moderately Viral</v>
      </c>
      <c r="T428" s="2" t="s">
        <v>31</v>
      </c>
      <c r="U428" s="3" t="s">
        <v>25</v>
      </c>
    </row>
    <row r="429" spans="1:21" x14ac:dyDescent="0.3">
      <c r="A429" s="4" t="s">
        <v>489</v>
      </c>
      <c r="B429" s="9">
        <v>45626</v>
      </c>
      <c r="C429" s="4" t="s">
        <v>27</v>
      </c>
      <c r="D429" s="4" t="s">
        <v>55</v>
      </c>
      <c r="E429" s="4" t="s">
        <v>47</v>
      </c>
      <c r="F429" s="4" t="s">
        <v>52</v>
      </c>
      <c r="G429" s="4" t="s">
        <v>29</v>
      </c>
      <c r="H429" s="14">
        <v>4.0999999999999996</v>
      </c>
      <c r="I429" s="2" t="str">
        <f t="shared" si="35"/>
        <v>Moderate Risk</v>
      </c>
      <c r="J429" s="4">
        <v>76.5</v>
      </c>
      <c r="K429" s="2" t="str">
        <f t="shared" si="38"/>
        <v>High Confidence</v>
      </c>
      <c r="L429" s="4" t="s">
        <v>22</v>
      </c>
      <c r="M429" s="2" t="str">
        <f t="shared" si="36"/>
        <v>Human Content</v>
      </c>
      <c r="N429" s="4">
        <v>0.15</v>
      </c>
      <c r="O429" s="4" t="s">
        <v>23</v>
      </c>
      <c r="P429" s="4">
        <v>1852280</v>
      </c>
      <c r="Q429" s="2" t="str">
        <f t="shared" si="39"/>
        <v>Medium</v>
      </c>
      <c r="R429" s="4">
        <v>5140954</v>
      </c>
      <c r="S429" s="2" t="str">
        <f t="shared" si="37"/>
        <v>Highly Viral</v>
      </c>
      <c r="T429" s="4" t="s">
        <v>61</v>
      </c>
      <c r="U429" s="3" t="s">
        <v>25</v>
      </c>
    </row>
    <row r="430" spans="1:21" x14ac:dyDescent="0.3">
      <c r="A430" s="2" t="s">
        <v>490</v>
      </c>
      <c r="B430" s="8">
        <v>45636</v>
      </c>
      <c r="C430" s="2" t="s">
        <v>78</v>
      </c>
      <c r="D430" s="2" t="s">
        <v>55</v>
      </c>
      <c r="E430" s="2" t="s">
        <v>73</v>
      </c>
      <c r="F430" s="2" t="s">
        <v>20</v>
      </c>
      <c r="G430" s="2" t="s">
        <v>37</v>
      </c>
      <c r="H430" s="13">
        <v>29</v>
      </c>
      <c r="I430" s="2" t="str">
        <f t="shared" si="35"/>
        <v>Moderate Risk</v>
      </c>
      <c r="J430" s="2">
        <v>69.3</v>
      </c>
      <c r="K430" s="2" t="str">
        <f t="shared" si="38"/>
        <v>Moderate Confidence</v>
      </c>
      <c r="L430" s="2" t="s">
        <v>22</v>
      </c>
      <c r="M430" s="2" t="str">
        <f t="shared" si="36"/>
        <v>Human Content</v>
      </c>
      <c r="N430" s="2">
        <v>0.13200000000000001</v>
      </c>
      <c r="O430" s="2" t="s">
        <v>30</v>
      </c>
      <c r="P430" s="2">
        <v>3991858</v>
      </c>
      <c r="Q430" s="2" t="str">
        <f t="shared" si="39"/>
        <v>Medium</v>
      </c>
      <c r="R430" s="2">
        <v>19174864</v>
      </c>
      <c r="S430" s="2" t="str">
        <f t="shared" si="37"/>
        <v>Highly Viral</v>
      </c>
      <c r="T430" s="2" t="s">
        <v>61</v>
      </c>
      <c r="U430" s="3" t="s">
        <v>25</v>
      </c>
    </row>
    <row r="431" spans="1:21" x14ac:dyDescent="0.3">
      <c r="A431" s="4" t="s">
        <v>491</v>
      </c>
      <c r="B431" s="9">
        <v>45572</v>
      </c>
      <c r="C431" s="4" t="s">
        <v>78</v>
      </c>
      <c r="D431" s="4" t="s">
        <v>40</v>
      </c>
      <c r="E431" s="4" t="s">
        <v>73</v>
      </c>
      <c r="F431" s="4" t="s">
        <v>76</v>
      </c>
      <c r="G431" s="4" t="s">
        <v>29</v>
      </c>
      <c r="H431" s="14">
        <v>43.4</v>
      </c>
      <c r="I431" s="2" t="str">
        <f t="shared" si="35"/>
        <v>Moderate Risk</v>
      </c>
      <c r="J431" s="4">
        <v>84.2</v>
      </c>
      <c r="K431" s="2" t="str">
        <f t="shared" si="38"/>
        <v>High Confidence</v>
      </c>
      <c r="L431" s="4" t="s">
        <v>43</v>
      </c>
      <c r="M431" s="2" t="str">
        <f t="shared" si="36"/>
        <v>Human Content</v>
      </c>
      <c r="N431" s="4">
        <v>0.76200000000000001</v>
      </c>
      <c r="O431" s="4" t="s">
        <v>22</v>
      </c>
      <c r="P431" s="4">
        <v>4691816</v>
      </c>
      <c r="Q431" s="2" t="str">
        <f t="shared" si="39"/>
        <v>High</v>
      </c>
      <c r="R431" s="4">
        <v>6647919</v>
      </c>
      <c r="S431" s="2" t="str">
        <f t="shared" si="37"/>
        <v>Highly Viral</v>
      </c>
      <c r="T431" s="4" t="s">
        <v>24</v>
      </c>
      <c r="U431" s="5" t="s">
        <v>32</v>
      </c>
    </row>
    <row r="432" spans="1:21" x14ac:dyDescent="0.3">
      <c r="A432" s="2" t="s">
        <v>492</v>
      </c>
      <c r="B432" s="8">
        <v>45494</v>
      </c>
      <c r="C432" s="2" t="s">
        <v>46</v>
      </c>
      <c r="D432" s="2" t="s">
        <v>60</v>
      </c>
      <c r="E432" s="2" t="s">
        <v>28</v>
      </c>
      <c r="F432" s="2" t="s">
        <v>20</v>
      </c>
      <c r="G432" s="2" t="s">
        <v>67</v>
      </c>
      <c r="H432" s="13">
        <v>26.6</v>
      </c>
      <c r="I432" s="2" t="str">
        <f t="shared" si="35"/>
        <v>Moderate Risk</v>
      </c>
      <c r="J432" s="2">
        <v>71.099999999999994</v>
      </c>
      <c r="K432" s="2" t="str">
        <f t="shared" si="38"/>
        <v>High Confidence</v>
      </c>
      <c r="L432" s="2" t="s">
        <v>22</v>
      </c>
      <c r="M432" s="2" t="str">
        <f t="shared" si="36"/>
        <v>Human Content</v>
      </c>
      <c r="N432" s="2">
        <v>0.68500000000000005</v>
      </c>
      <c r="O432" s="2" t="s">
        <v>23</v>
      </c>
      <c r="P432" s="2">
        <v>751674</v>
      </c>
      <c r="Q432" s="2" t="str">
        <f t="shared" si="39"/>
        <v>Low</v>
      </c>
      <c r="R432" s="2">
        <v>3776375</v>
      </c>
      <c r="S432" s="2" t="str">
        <f t="shared" si="37"/>
        <v>Moderately Viral</v>
      </c>
      <c r="T432" s="2" t="s">
        <v>24</v>
      </c>
      <c r="U432" s="3" t="s">
        <v>25</v>
      </c>
    </row>
    <row r="433" spans="1:21" x14ac:dyDescent="0.3">
      <c r="A433" s="4" t="s">
        <v>493</v>
      </c>
      <c r="B433" s="9">
        <v>45508</v>
      </c>
      <c r="C433" s="4" t="s">
        <v>39</v>
      </c>
      <c r="D433" s="4" t="s">
        <v>40</v>
      </c>
      <c r="E433" s="4" t="s">
        <v>28</v>
      </c>
      <c r="F433" s="4" t="s">
        <v>52</v>
      </c>
      <c r="G433" s="4" t="s">
        <v>64</v>
      </c>
      <c r="H433" s="14">
        <v>59.4</v>
      </c>
      <c r="I433" s="2" t="str">
        <f t="shared" si="35"/>
        <v>Moderate Risk</v>
      </c>
      <c r="J433" s="4">
        <v>51.2</v>
      </c>
      <c r="K433" s="2" t="str">
        <f t="shared" si="38"/>
        <v>Moderate Confidence</v>
      </c>
      <c r="L433" s="4" t="s">
        <v>43</v>
      </c>
      <c r="M433" s="2" t="str">
        <f t="shared" si="36"/>
        <v>Human Content</v>
      </c>
      <c r="N433" s="4">
        <v>0.30499999999999999</v>
      </c>
      <c r="O433" s="4" t="s">
        <v>22</v>
      </c>
      <c r="P433" s="4">
        <v>3709627</v>
      </c>
      <c r="Q433" s="2" t="str">
        <f t="shared" si="39"/>
        <v>Medium</v>
      </c>
      <c r="R433" s="4">
        <v>4893356</v>
      </c>
      <c r="S433" s="2" t="str">
        <f t="shared" si="37"/>
        <v>Moderately Viral</v>
      </c>
      <c r="T433" s="4" t="s">
        <v>24</v>
      </c>
      <c r="U433" s="5" t="s">
        <v>32</v>
      </c>
    </row>
    <row r="434" spans="1:21" x14ac:dyDescent="0.3">
      <c r="A434" s="2" t="s">
        <v>494</v>
      </c>
      <c r="B434" s="8">
        <v>45314</v>
      </c>
      <c r="C434" s="2" t="s">
        <v>46</v>
      </c>
      <c r="D434" s="2" t="s">
        <v>50</v>
      </c>
      <c r="E434" s="2" t="s">
        <v>51</v>
      </c>
      <c r="F434" s="2" t="s">
        <v>20</v>
      </c>
      <c r="G434" s="2" t="s">
        <v>74</v>
      </c>
      <c r="H434" s="13">
        <v>72.8</v>
      </c>
      <c r="I434" s="2" t="str">
        <f t="shared" si="35"/>
        <v>High Risk</v>
      </c>
      <c r="J434" s="2">
        <v>54.2</v>
      </c>
      <c r="K434" s="2" t="str">
        <f t="shared" si="38"/>
        <v>Moderate Confidence</v>
      </c>
      <c r="L434" s="2" t="s">
        <v>30</v>
      </c>
      <c r="M434" s="2" t="str">
        <f t="shared" si="36"/>
        <v>AI Generated</v>
      </c>
      <c r="N434" s="2">
        <v>0.74</v>
      </c>
      <c r="O434" s="2" t="s">
        <v>30</v>
      </c>
      <c r="P434" s="2">
        <v>1238905</v>
      </c>
      <c r="Q434" s="2" t="str">
        <f t="shared" si="39"/>
        <v>Medium</v>
      </c>
      <c r="R434" s="2">
        <v>9653609</v>
      </c>
      <c r="S434" s="2" t="str">
        <f t="shared" si="37"/>
        <v>Highly Viral</v>
      </c>
      <c r="T434" s="2" t="s">
        <v>61</v>
      </c>
      <c r="U434" s="6" t="s">
        <v>48</v>
      </c>
    </row>
    <row r="435" spans="1:21" x14ac:dyDescent="0.3">
      <c r="A435" s="4" t="s">
        <v>495</v>
      </c>
      <c r="B435" s="9">
        <v>45467</v>
      </c>
      <c r="C435" s="4" t="s">
        <v>17</v>
      </c>
      <c r="D435" s="4" t="s">
        <v>40</v>
      </c>
      <c r="E435" s="4" t="s">
        <v>71</v>
      </c>
      <c r="F435" s="4" t="s">
        <v>76</v>
      </c>
      <c r="G435" s="4" t="s">
        <v>67</v>
      </c>
      <c r="H435" s="14">
        <v>33.200000000000003</v>
      </c>
      <c r="I435" s="2" t="str">
        <f t="shared" si="35"/>
        <v>Moderate Risk</v>
      </c>
      <c r="J435" s="4">
        <v>86.3</v>
      </c>
      <c r="K435" s="2" t="str">
        <f t="shared" si="38"/>
        <v>High Confidence</v>
      </c>
      <c r="L435" s="4" t="s">
        <v>22</v>
      </c>
      <c r="M435" s="2" t="str">
        <f t="shared" si="36"/>
        <v>Human Content</v>
      </c>
      <c r="N435" s="4">
        <v>0.21199999999999999</v>
      </c>
      <c r="O435" s="4" t="s">
        <v>23</v>
      </c>
      <c r="P435" s="4">
        <v>4389572</v>
      </c>
      <c r="Q435" s="2" t="str">
        <f t="shared" si="39"/>
        <v>High</v>
      </c>
      <c r="R435" s="4">
        <v>8679622</v>
      </c>
      <c r="S435" s="2" t="str">
        <f t="shared" si="37"/>
        <v>Highly Viral</v>
      </c>
      <c r="T435" s="4" t="s">
        <v>44</v>
      </c>
      <c r="U435" s="3" t="s">
        <v>25</v>
      </c>
    </row>
    <row r="436" spans="1:21" x14ac:dyDescent="0.3">
      <c r="A436" s="2" t="s">
        <v>496</v>
      </c>
      <c r="B436" s="8">
        <v>45539</v>
      </c>
      <c r="C436" s="2" t="s">
        <v>69</v>
      </c>
      <c r="D436" s="2" t="s">
        <v>18</v>
      </c>
      <c r="E436" s="2" t="s">
        <v>88</v>
      </c>
      <c r="F436" s="2" t="s">
        <v>58</v>
      </c>
      <c r="G436" s="2" t="s">
        <v>42</v>
      </c>
      <c r="H436" s="13">
        <v>52.7</v>
      </c>
      <c r="I436" s="2" t="str">
        <f t="shared" si="35"/>
        <v>Moderate Risk</v>
      </c>
      <c r="J436" s="2">
        <v>62.5</v>
      </c>
      <c r="K436" s="2" t="str">
        <f t="shared" si="38"/>
        <v>Moderate Confidence</v>
      </c>
      <c r="L436" s="2" t="s">
        <v>43</v>
      </c>
      <c r="M436" s="2" t="str">
        <f t="shared" si="36"/>
        <v>Human Content</v>
      </c>
      <c r="N436" s="2">
        <v>0.06</v>
      </c>
      <c r="O436" s="2" t="s">
        <v>30</v>
      </c>
      <c r="P436" s="2">
        <v>2275773</v>
      </c>
      <c r="Q436" s="2" t="str">
        <f t="shared" si="39"/>
        <v>Medium</v>
      </c>
      <c r="R436" s="2">
        <v>1781745</v>
      </c>
      <c r="S436" s="2" t="str">
        <f t="shared" si="37"/>
        <v>Moderately Viral</v>
      </c>
      <c r="T436" s="2" t="s">
        <v>24</v>
      </c>
      <c r="U436" s="5" t="s">
        <v>32</v>
      </c>
    </row>
    <row r="437" spans="1:21" x14ac:dyDescent="0.3">
      <c r="A437" s="4" t="s">
        <v>497</v>
      </c>
      <c r="B437" s="9">
        <v>45627</v>
      </c>
      <c r="C437" s="4" t="s">
        <v>27</v>
      </c>
      <c r="D437" s="4" t="s">
        <v>18</v>
      </c>
      <c r="E437" s="4" t="s">
        <v>88</v>
      </c>
      <c r="F437" s="4" t="s">
        <v>36</v>
      </c>
      <c r="G437" s="4" t="s">
        <v>64</v>
      </c>
      <c r="H437" s="14">
        <v>66.3</v>
      </c>
      <c r="I437" s="2" t="str">
        <f t="shared" si="35"/>
        <v>High Risk</v>
      </c>
      <c r="J437" s="4">
        <v>94.7</v>
      </c>
      <c r="K437" s="2" t="str">
        <f t="shared" si="38"/>
        <v>High Confidence</v>
      </c>
      <c r="L437" s="4" t="s">
        <v>30</v>
      </c>
      <c r="M437" s="2" t="str">
        <f t="shared" si="36"/>
        <v>AI Generated</v>
      </c>
      <c r="N437" s="4">
        <v>0.36</v>
      </c>
      <c r="O437" s="4" t="s">
        <v>30</v>
      </c>
      <c r="P437" s="4">
        <v>160140</v>
      </c>
      <c r="Q437" s="2" t="str">
        <f t="shared" si="39"/>
        <v>Low</v>
      </c>
      <c r="R437" s="4">
        <v>9815022</v>
      </c>
      <c r="S437" s="2" t="str">
        <f t="shared" si="37"/>
        <v>Highly Viral</v>
      </c>
      <c r="T437" s="4" t="s">
        <v>24</v>
      </c>
      <c r="U437" s="6" t="s">
        <v>48</v>
      </c>
    </row>
    <row r="438" spans="1:21" x14ac:dyDescent="0.3">
      <c r="A438" s="2" t="s">
        <v>498</v>
      </c>
      <c r="B438" s="8">
        <v>45410</v>
      </c>
      <c r="C438" s="2" t="s">
        <v>78</v>
      </c>
      <c r="D438" s="2" t="s">
        <v>60</v>
      </c>
      <c r="E438" s="2" t="s">
        <v>73</v>
      </c>
      <c r="F438" s="2" t="s">
        <v>52</v>
      </c>
      <c r="G438" s="2" t="s">
        <v>37</v>
      </c>
      <c r="H438" s="13">
        <v>86.7</v>
      </c>
      <c r="I438" s="2" t="str">
        <f t="shared" si="35"/>
        <v>High Risk</v>
      </c>
      <c r="J438" s="2">
        <v>76</v>
      </c>
      <c r="K438" s="2" t="str">
        <f t="shared" si="38"/>
        <v>High Confidence</v>
      </c>
      <c r="L438" s="2" t="s">
        <v>30</v>
      </c>
      <c r="M438" s="2" t="str">
        <f t="shared" si="36"/>
        <v>AI Generated</v>
      </c>
      <c r="N438" s="2">
        <v>0.186</v>
      </c>
      <c r="O438" s="2" t="s">
        <v>23</v>
      </c>
      <c r="P438" s="2">
        <v>3841967</v>
      </c>
      <c r="Q438" s="2" t="str">
        <f t="shared" si="39"/>
        <v>Medium</v>
      </c>
      <c r="R438" s="2">
        <v>18814051</v>
      </c>
      <c r="S438" s="2" t="str">
        <f t="shared" si="37"/>
        <v>Highly Viral</v>
      </c>
      <c r="T438" s="2" t="s">
        <v>61</v>
      </c>
      <c r="U438" s="6" t="s">
        <v>48</v>
      </c>
    </row>
    <row r="439" spans="1:21" x14ac:dyDescent="0.3">
      <c r="A439" s="4" t="s">
        <v>499</v>
      </c>
      <c r="B439" s="9">
        <v>45312</v>
      </c>
      <c r="C439" s="4" t="s">
        <v>46</v>
      </c>
      <c r="D439" s="4" t="s">
        <v>60</v>
      </c>
      <c r="E439" s="4" t="s">
        <v>19</v>
      </c>
      <c r="F439" s="4" t="s">
        <v>52</v>
      </c>
      <c r="G439" s="4" t="s">
        <v>37</v>
      </c>
      <c r="H439" s="14">
        <v>39.299999999999997</v>
      </c>
      <c r="I439" s="2" t="str">
        <f t="shared" si="35"/>
        <v>Moderate Risk</v>
      </c>
      <c r="J439" s="4">
        <v>57.7</v>
      </c>
      <c r="K439" s="2" t="str">
        <f t="shared" si="38"/>
        <v>Moderate Confidence</v>
      </c>
      <c r="L439" s="4" t="s">
        <v>43</v>
      </c>
      <c r="M439" s="2" t="str">
        <f t="shared" si="36"/>
        <v>Human Content</v>
      </c>
      <c r="N439" s="4">
        <v>0.34699999999999998</v>
      </c>
      <c r="O439" s="4" t="s">
        <v>22</v>
      </c>
      <c r="P439" s="4">
        <v>2981227</v>
      </c>
      <c r="Q439" s="2" t="str">
        <f t="shared" si="39"/>
        <v>Medium</v>
      </c>
      <c r="R439" s="4">
        <v>10144884</v>
      </c>
      <c r="S439" s="2" t="str">
        <f t="shared" si="37"/>
        <v>Highly Viral</v>
      </c>
      <c r="T439" s="4" t="s">
        <v>31</v>
      </c>
      <c r="U439" s="5" t="s">
        <v>32</v>
      </c>
    </row>
    <row r="440" spans="1:21" x14ac:dyDescent="0.3">
      <c r="A440" s="2" t="s">
        <v>500</v>
      </c>
      <c r="B440" s="8">
        <v>45548</v>
      </c>
      <c r="C440" s="2" t="s">
        <v>34</v>
      </c>
      <c r="D440" s="2" t="s">
        <v>18</v>
      </c>
      <c r="E440" s="2" t="s">
        <v>19</v>
      </c>
      <c r="F440" s="2" t="s">
        <v>76</v>
      </c>
      <c r="G440" s="2" t="s">
        <v>74</v>
      </c>
      <c r="H440" s="13">
        <v>99</v>
      </c>
      <c r="I440" s="2" t="str">
        <f t="shared" si="35"/>
        <v>High Risk</v>
      </c>
      <c r="J440" s="2">
        <v>96.3</v>
      </c>
      <c r="K440" s="2" t="str">
        <f t="shared" si="38"/>
        <v>High Confidence</v>
      </c>
      <c r="L440" s="2" t="s">
        <v>30</v>
      </c>
      <c r="M440" s="2" t="str">
        <f t="shared" si="36"/>
        <v>AI Generated</v>
      </c>
      <c r="N440" s="2">
        <v>0.94899999999999995</v>
      </c>
      <c r="O440" s="2" t="s">
        <v>30</v>
      </c>
      <c r="P440" s="2">
        <v>1272720</v>
      </c>
      <c r="Q440" s="2" t="str">
        <f t="shared" si="39"/>
        <v>Medium</v>
      </c>
      <c r="R440" s="2">
        <v>11468940</v>
      </c>
      <c r="S440" s="2" t="str">
        <f t="shared" si="37"/>
        <v>Highly Viral</v>
      </c>
      <c r="T440" s="2" t="s">
        <v>24</v>
      </c>
      <c r="U440" s="6" t="s">
        <v>48</v>
      </c>
    </row>
    <row r="441" spans="1:21" x14ac:dyDescent="0.3">
      <c r="A441" s="4" t="s">
        <v>501</v>
      </c>
      <c r="B441" s="9">
        <v>45628</v>
      </c>
      <c r="C441" s="4" t="s">
        <v>69</v>
      </c>
      <c r="D441" s="4" t="s">
        <v>18</v>
      </c>
      <c r="E441" s="4" t="s">
        <v>88</v>
      </c>
      <c r="F441" s="4" t="s">
        <v>58</v>
      </c>
      <c r="G441" s="4" t="s">
        <v>42</v>
      </c>
      <c r="H441" s="14">
        <v>61.2</v>
      </c>
      <c r="I441" s="2" t="str">
        <f t="shared" si="35"/>
        <v>High Risk</v>
      </c>
      <c r="J441" s="4">
        <v>80.7</v>
      </c>
      <c r="K441" s="2" t="str">
        <f t="shared" si="38"/>
        <v>High Confidence</v>
      </c>
      <c r="L441" s="4" t="s">
        <v>30</v>
      </c>
      <c r="M441" s="2" t="str">
        <f t="shared" si="36"/>
        <v>AI Generated</v>
      </c>
      <c r="N441" s="4">
        <v>0.22700000000000001</v>
      </c>
      <c r="O441" s="4" t="s">
        <v>30</v>
      </c>
      <c r="P441" s="4">
        <v>4805921</v>
      </c>
      <c r="Q441" s="2" t="str">
        <f t="shared" si="39"/>
        <v>High</v>
      </c>
      <c r="R441" s="4">
        <v>5125911</v>
      </c>
      <c r="S441" s="2" t="str">
        <f t="shared" si="37"/>
        <v>Highly Viral</v>
      </c>
      <c r="T441" s="4" t="s">
        <v>24</v>
      </c>
      <c r="U441" s="5" t="s">
        <v>32</v>
      </c>
    </row>
    <row r="442" spans="1:21" x14ac:dyDescent="0.3">
      <c r="A442" s="2" t="s">
        <v>502</v>
      </c>
      <c r="B442" s="8">
        <v>45451</v>
      </c>
      <c r="C442" s="2" t="s">
        <v>39</v>
      </c>
      <c r="D442" s="2" t="s">
        <v>55</v>
      </c>
      <c r="E442" s="2" t="s">
        <v>35</v>
      </c>
      <c r="F442" s="2" t="s">
        <v>20</v>
      </c>
      <c r="G442" s="2" t="s">
        <v>42</v>
      </c>
      <c r="H442" s="13">
        <v>13.9</v>
      </c>
      <c r="I442" s="2" t="str">
        <f t="shared" si="35"/>
        <v>Moderate Risk</v>
      </c>
      <c r="J442" s="2">
        <v>76.5</v>
      </c>
      <c r="K442" s="2" t="str">
        <f t="shared" si="38"/>
        <v>High Confidence</v>
      </c>
      <c r="L442" s="2" t="s">
        <v>22</v>
      </c>
      <c r="M442" s="2" t="str">
        <f t="shared" si="36"/>
        <v>Human Content</v>
      </c>
      <c r="N442" s="2">
        <v>0.8</v>
      </c>
      <c r="O442" s="2" t="s">
        <v>30</v>
      </c>
      <c r="P442" s="2">
        <v>2592166</v>
      </c>
      <c r="Q442" s="2" t="str">
        <f t="shared" si="39"/>
        <v>Medium</v>
      </c>
      <c r="R442" s="2">
        <v>17576495</v>
      </c>
      <c r="S442" s="2" t="str">
        <f t="shared" si="37"/>
        <v>Highly Viral</v>
      </c>
      <c r="T442" s="2" t="s">
        <v>31</v>
      </c>
      <c r="U442" s="3" t="s">
        <v>25</v>
      </c>
    </row>
    <row r="443" spans="1:21" x14ac:dyDescent="0.3">
      <c r="A443" s="4" t="s">
        <v>503</v>
      </c>
      <c r="B443" s="9">
        <v>45512</v>
      </c>
      <c r="C443" s="4" t="s">
        <v>69</v>
      </c>
      <c r="D443" s="4" t="s">
        <v>60</v>
      </c>
      <c r="E443" s="4" t="s">
        <v>35</v>
      </c>
      <c r="F443" s="4" t="s">
        <v>52</v>
      </c>
      <c r="G443" s="4" t="s">
        <v>67</v>
      </c>
      <c r="H443" s="14">
        <v>55.7</v>
      </c>
      <c r="I443" s="2" t="str">
        <f t="shared" si="35"/>
        <v>Moderate Risk</v>
      </c>
      <c r="J443" s="4">
        <v>96.5</v>
      </c>
      <c r="K443" s="2" t="str">
        <f t="shared" si="38"/>
        <v>High Confidence</v>
      </c>
      <c r="L443" s="4" t="s">
        <v>43</v>
      </c>
      <c r="M443" s="2" t="str">
        <f t="shared" si="36"/>
        <v>Human Content</v>
      </c>
      <c r="N443" s="4">
        <v>0.11799999999999999</v>
      </c>
      <c r="O443" s="4" t="s">
        <v>22</v>
      </c>
      <c r="P443" s="4">
        <v>1220833</v>
      </c>
      <c r="Q443" s="2" t="str">
        <f t="shared" si="39"/>
        <v>Medium</v>
      </c>
      <c r="R443" s="4">
        <v>989796</v>
      </c>
      <c r="S443" s="2" t="b">
        <f t="shared" si="37"/>
        <v>0</v>
      </c>
      <c r="T443" s="4" t="s">
        <v>56</v>
      </c>
      <c r="U443" s="5" t="s">
        <v>32</v>
      </c>
    </row>
    <row r="444" spans="1:21" x14ac:dyDescent="0.3">
      <c r="A444" s="2" t="s">
        <v>504</v>
      </c>
      <c r="B444" s="8">
        <v>45503</v>
      </c>
      <c r="C444" s="2" t="s">
        <v>78</v>
      </c>
      <c r="D444" s="2" t="s">
        <v>40</v>
      </c>
      <c r="E444" s="2" t="s">
        <v>71</v>
      </c>
      <c r="F444" s="2" t="s">
        <v>36</v>
      </c>
      <c r="G444" s="2" t="s">
        <v>74</v>
      </c>
      <c r="H444" s="13">
        <v>89.4</v>
      </c>
      <c r="I444" s="2" t="str">
        <f t="shared" si="35"/>
        <v>High Risk</v>
      </c>
      <c r="J444" s="2">
        <v>95.7</v>
      </c>
      <c r="K444" s="2" t="str">
        <f t="shared" si="38"/>
        <v>High Confidence</v>
      </c>
      <c r="L444" s="2" t="s">
        <v>30</v>
      </c>
      <c r="M444" s="2" t="str">
        <f t="shared" si="36"/>
        <v>AI Generated</v>
      </c>
      <c r="N444" s="2">
        <v>0.27400000000000002</v>
      </c>
      <c r="O444" s="2" t="s">
        <v>30</v>
      </c>
      <c r="P444" s="2">
        <v>895763</v>
      </c>
      <c r="Q444" s="2" t="str">
        <f t="shared" si="39"/>
        <v>Low</v>
      </c>
      <c r="R444" s="2">
        <v>4414447</v>
      </c>
      <c r="S444" s="2" t="str">
        <f t="shared" si="37"/>
        <v>Moderately Viral</v>
      </c>
      <c r="T444" s="2" t="s">
        <v>31</v>
      </c>
      <c r="U444" s="6" t="s">
        <v>48</v>
      </c>
    </row>
    <row r="445" spans="1:21" x14ac:dyDescent="0.3">
      <c r="A445" s="4" t="s">
        <v>505</v>
      </c>
      <c r="B445" s="9">
        <v>45305</v>
      </c>
      <c r="C445" s="4" t="s">
        <v>34</v>
      </c>
      <c r="D445" s="4" t="s">
        <v>60</v>
      </c>
      <c r="E445" s="4" t="s">
        <v>28</v>
      </c>
      <c r="F445" s="4" t="s">
        <v>58</v>
      </c>
      <c r="G445" s="4" t="s">
        <v>21</v>
      </c>
      <c r="H445" s="14">
        <v>23.1</v>
      </c>
      <c r="I445" s="2" t="str">
        <f t="shared" si="35"/>
        <v>Moderate Risk</v>
      </c>
      <c r="J445" s="4">
        <v>51.3</v>
      </c>
      <c r="K445" s="2" t="str">
        <f t="shared" si="38"/>
        <v>Moderate Confidence</v>
      </c>
      <c r="L445" s="4" t="s">
        <v>22</v>
      </c>
      <c r="M445" s="2" t="str">
        <f t="shared" si="36"/>
        <v>Human Content</v>
      </c>
      <c r="N445" s="4">
        <v>7.9000000000000001E-2</v>
      </c>
      <c r="O445" s="4" t="s">
        <v>22</v>
      </c>
      <c r="P445" s="4">
        <v>1124900</v>
      </c>
      <c r="Q445" s="2" t="str">
        <f t="shared" si="39"/>
        <v>Medium</v>
      </c>
      <c r="R445" s="4">
        <v>16855716</v>
      </c>
      <c r="S445" s="2" t="str">
        <f t="shared" si="37"/>
        <v>Highly Viral</v>
      </c>
      <c r="T445" s="4" t="s">
        <v>44</v>
      </c>
      <c r="U445" s="3" t="s">
        <v>25</v>
      </c>
    </row>
    <row r="446" spans="1:21" x14ac:dyDescent="0.3">
      <c r="A446" s="2" t="s">
        <v>506</v>
      </c>
      <c r="B446" s="8">
        <v>45532</v>
      </c>
      <c r="C446" s="2" t="s">
        <v>39</v>
      </c>
      <c r="D446" s="2" t="s">
        <v>50</v>
      </c>
      <c r="E446" s="2" t="s">
        <v>88</v>
      </c>
      <c r="F446" s="2" t="s">
        <v>76</v>
      </c>
      <c r="G446" s="2" t="s">
        <v>37</v>
      </c>
      <c r="H446" s="13">
        <v>13.8</v>
      </c>
      <c r="I446" s="2" t="str">
        <f t="shared" si="35"/>
        <v>Moderate Risk</v>
      </c>
      <c r="J446" s="2">
        <v>59.5</v>
      </c>
      <c r="K446" s="2" t="str">
        <f t="shared" si="38"/>
        <v>Moderate Confidence</v>
      </c>
      <c r="L446" s="2" t="s">
        <v>22</v>
      </c>
      <c r="M446" s="2" t="str">
        <f t="shared" si="36"/>
        <v>Human Content</v>
      </c>
      <c r="N446" s="2">
        <v>3.2000000000000001E-2</v>
      </c>
      <c r="O446" s="2" t="s">
        <v>30</v>
      </c>
      <c r="P446" s="2">
        <v>2263838</v>
      </c>
      <c r="Q446" s="2" t="str">
        <f t="shared" si="39"/>
        <v>Medium</v>
      </c>
      <c r="R446" s="2">
        <v>13859957</v>
      </c>
      <c r="S446" s="2" t="str">
        <f t="shared" si="37"/>
        <v>Highly Viral</v>
      </c>
      <c r="T446" s="2" t="s">
        <v>31</v>
      </c>
      <c r="U446" s="3" t="s">
        <v>25</v>
      </c>
    </row>
    <row r="447" spans="1:21" x14ac:dyDescent="0.3">
      <c r="A447" s="4" t="s">
        <v>507</v>
      </c>
      <c r="B447" s="9">
        <v>45635</v>
      </c>
      <c r="C447" s="4" t="s">
        <v>46</v>
      </c>
      <c r="D447" s="4" t="s">
        <v>50</v>
      </c>
      <c r="E447" s="4" t="s">
        <v>73</v>
      </c>
      <c r="F447" s="4" t="s">
        <v>20</v>
      </c>
      <c r="G447" s="4" t="s">
        <v>37</v>
      </c>
      <c r="H447" s="14">
        <v>86.7</v>
      </c>
      <c r="I447" s="2" t="str">
        <f t="shared" si="35"/>
        <v>High Risk</v>
      </c>
      <c r="J447" s="4">
        <v>74</v>
      </c>
      <c r="K447" s="2" t="str">
        <f t="shared" si="38"/>
        <v>High Confidence</v>
      </c>
      <c r="L447" s="4" t="s">
        <v>30</v>
      </c>
      <c r="M447" s="2" t="str">
        <f t="shared" si="36"/>
        <v>AI Generated</v>
      </c>
      <c r="N447" s="4">
        <v>0.32500000000000001</v>
      </c>
      <c r="O447" s="4" t="s">
        <v>22</v>
      </c>
      <c r="P447" s="4">
        <v>2070272</v>
      </c>
      <c r="Q447" s="2" t="str">
        <f t="shared" si="39"/>
        <v>Medium</v>
      </c>
      <c r="R447" s="4">
        <v>14346888</v>
      </c>
      <c r="S447" s="2" t="str">
        <f t="shared" si="37"/>
        <v>Highly Viral</v>
      </c>
      <c r="T447" s="4" t="s">
        <v>24</v>
      </c>
      <c r="U447" s="6" t="s">
        <v>48</v>
      </c>
    </row>
    <row r="448" spans="1:21" x14ac:dyDescent="0.3">
      <c r="A448" s="2" t="s">
        <v>508</v>
      </c>
      <c r="B448" s="8">
        <v>45313</v>
      </c>
      <c r="C448" s="2" t="s">
        <v>78</v>
      </c>
      <c r="D448" s="2" t="s">
        <v>40</v>
      </c>
      <c r="E448" s="2" t="s">
        <v>88</v>
      </c>
      <c r="F448" s="2" t="s">
        <v>58</v>
      </c>
      <c r="G448" s="2" t="s">
        <v>42</v>
      </c>
      <c r="H448" s="13">
        <v>57.2</v>
      </c>
      <c r="I448" s="2" t="str">
        <f t="shared" si="35"/>
        <v>Moderate Risk</v>
      </c>
      <c r="J448" s="2">
        <v>76.3</v>
      </c>
      <c r="K448" s="2" t="str">
        <f t="shared" si="38"/>
        <v>High Confidence</v>
      </c>
      <c r="L448" s="2" t="s">
        <v>43</v>
      </c>
      <c r="M448" s="2" t="str">
        <f t="shared" si="36"/>
        <v>Human Content</v>
      </c>
      <c r="N448" s="2">
        <v>0.64100000000000001</v>
      </c>
      <c r="O448" s="2" t="s">
        <v>23</v>
      </c>
      <c r="P448" s="2">
        <v>323161</v>
      </c>
      <c r="Q448" s="2" t="str">
        <f t="shared" si="39"/>
        <v>Low</v>
      </c>
      <c r="R448" s="2">
        <v>17470584</v>
      </c>
      <c r="S448" s="2" t="str">
        <f t="shared" si="37"/>
        <v>Highly Viral</v>
      </c>
      <c r="T448" s="2" t="s">
        <v>61</v>
      </c>
      <c r="U448" s="5" t="s">
        <v>32</v>
      </c>
    </row>
    <row r="449" spans="1:21" x14ac:dyDescent="0.3">
      <c r="A449" s="4" t="s">
        <v>509</v>
      </c>
      <c r="B449" s="9">
        <v>45523</v>
      </c>
      <c r="C449" s="4" t="s">
        <v>54</v>
      </c>
      <c r="D449" s="4" t="s">
        <v>18</v>
      </c>
      <c r="E449" s="4" t="s">
        <v>28</v>
      </c>
      <c r="F449" s="4" t="s">
        <v>58</v>
      </c>
      <c r="G449" s="4" t="s">
        <v>29</v>
      </c>
      <c r="H449" s="14">
        <v>39.6</v>
      </c>
      <c r="I449" s="2" t="str">
        <f t="shared" si="35"/>
        <v>Moderate Risk</v>
      </c>
      <c r="J449" s="4">
        <v>86</v>
      </c>
      <c r="K449" s="2" t="str">
        <f t="shared" si="38"/>
        <v>High Confidence</v>
      </c>
      <c r="L449" s="4" t="s">
        <v>43</v>
      </c>
      <c r="M449" s="2" t="str">
        <f t="shared" si="36"/>
        <v>Human Content</v>
      </c>
      <c r="N449" s="4">
        <v>0.55800000000000005</v>
      </c>
      <c r="O449" s="4" t="s">
        <v>23</v>
      </c>
      <c r="P449" s="4">
        <v>413620</v>
      </c>
      <c r="Q449" s="2" t="str">
        <f t="shared" si="39"/>
        <v>Low</v>
      </c>
      <c r="R449" s="4">
        <v>6370820</v>
      </c>
      <c r="S449" s="2" t="str">
        <f t="shared" si="37"/>
        <v>Highly Viral</v>
      </c>
      <c r="T449" s="4" t="s">
        <v>56</v>
      </c>
      <c r="U449" s="5" t="s">
        <v>32</v>
      </c>
    </row>
    <row r="450" spans="1:21" x14ac:dyDescent="0.3">
      <c r="A450" s="2" t="s">
        <v>510</v>
      </c>
      <c r="B450" s="8">
        <v>45517</v>
      </c>
      <c r="C450" s="2" t="s">
        <v>78</v>
      </c>
      <c r="D450" s="2" t="s">
        <v>40</v>
      </c>
      <c r="E450" s="2" t="s">
        <v>19</v>
      </c>
      <c r="F450" s="2" t="s">
        <v>76</v>
      </c>
      <c r="G450" s="2" t="s">
        <v>21</v>
      </c>
      <c r="H450" s="13">
        <v>42.2</v>
      </c>
      <c r="I450" s="2" t="str">
        <f t="shared" si="35"/>
        <v>Moderate Risk</v>
      </c>
      <c r="J450" s="2">
        <v>80</v>
      </c>
      <c r="K450" s="2" t="str">
        <f t="shared" si="38"/>
        <v>High Confidence</v>
      </c>
      <c r="L450" s="2" t="s">
        <v>43</v>
      </c>
      <c r="M450" s="2" t="str">
        <f t="shared" si="36"/>
        <v>Human Content</v>
      </c>
      <c r="N450" s="2">
        <v>5.5E-2</v>
      </c>
      <c r="O450" s="2" t="s">
        <v>23</v>
      </c>
      <c r="P450" s="2">
        <v>1193292</v>
      </c>
      <c r="Q450" s="2" t="str">
        <f t="shared" si="39"/>
        <v>Medium</v>
      </c>
      <c r="R450" s="2">
        <v>15555628</v>
      </c>
      <c r="S450" s="2" t="str">
        <f t="shared" si="37"/>
        <v>Highly Viral</v>
      </c>
      <c r="T450" s="2" t="s">
        <v>24</v>
      </c>
      <c r="U450" s="5" t="s">
        <v>32</v>
      </c>
    </row>
    <row r="451" spans="1:21" x14ac:dyDescent="0.3">
      <c r="A451" s="4" t="s">
        <v>511</v>
      </c>
      <c r="B451" s="9">
        <v>45338</v>
      </c>
      <c r="C451" s="4" t="s">
        <v>17</v>
      </c>
      <c r="D451" s="4" t="s">
        <v>50</v>
      </c>
      <c r="E451" s="4" t="s">
        <v>35</v>
      </c>
      <c r="F451" s="4" t="s">
        <v>76</v>
      </c>
      <c r="G451" s="4" t="s">
        <v>37</v>
      </c>
      <c r="H451" s="14">
        <v>32.299999999999997</v>
      </c>
      <c r="I451" s="2" t="str">
        <f t="shared" ref="I451:I501" si="40">IF(H451&gt;60,"High Risk",IF(H451&lt;60,"Moderate Risk"))</f>
        <v>Moderate Risk</v>
      </c>
      <c r="J451" s="4">
        <v>51.2</v>
      </c>
      <c r="K451" s="2" t="str">
        <f t="shared" si="38"/>
        <v>Moderate Confidence</v>
      </c>
      <c r="L451" s="4" t="s">
        <v>22</v>
      </c>
      <c r="M451" s="2" t="str">
        <f t="shared" ref="M451:M501" si="41">IF(L451="Yes","AI Generated","Human Content")</f>
        <v>Human Content</v>
      </c>
      <c r="N451" s="4">
        <v>0.45400000000000001</v>
      </c>
      <c r="O451" s="4" t="s">
        <v>23</v>
      </c>
      <c r="P451" s="4">
        <v>1694028</v>
      </c>
      <c r="Q451" s="2" t="str">
        <f t="shared" si="39"/>
        <v>Medium</v>
      </c>
      <c r="R451" s="4">
        <v>15257136</v>
      </c>
      <c r="S451" s="2" t="str">
        <f t="shared" si="37"/>
        <v>Highly Viral</v>
      </c>
      <c r="T451" s="4" t="s">
        <v>61</v>
      </c>
      <c r="U451" s="3" t="s">
        <v>25</v>
      </c>
    </row>
    <row r="452" spans="1:21" x14ac:dyDescent="0.3">
      <c r="A452" s="2" t="s">
        <v>512</v>
      </c>
      <c r="B452" s="8">
        <v>45420</v>
      </c>
      <c r="C452" s="2" t="s">
        <v>39</v>
      </c>
      <c r="D452" s="2" t="s">
        <v>50</v>
      </c>
      <c r="E452" s="2" t="s">
        <v>73</v>
      </c>
      <c r="F452" s="2" t="s">
        <v>41</v>
      </c>
      <c r="G452" s="2" t="s">
        <v>67</v>
      </c>
      <c r="H452" s="13">
        <v>70.599999999999994</v>
      </c>
      <c r="I452" s="2" t="str">
        <f t="shared" si="40"/>
        <v>High Risk</v>
      </c>
      <c r="J452" s="2">
        <v>81.099999999999994</v>
      </c>
      <c r="K452" s="2" t="str">
        <f t="shared" si="38"/>
        <v>High Confidence</v>
      </c>
      <c r="L452" s="2" t="s">
        <v>30</v>
      </c>
      <c r="M452" s="2" t="str">
        <f t="shared" si="41"/>
        <v>AI Generated</v>
      </c>
      <c r="N452" s="2">
        <v>8.5000000000000006E-2</v>
      </c>
      <c r="O452" s="2" t="s">
        <v>23</v>
      </c>
      <c r="P452" s="2">
        <v>3222058</v>
      </c>
      <c r="Q452" s="2" t="str">
        <f t="shared" si="39"/>
        <v>Medium</v>
      </c>
      <c r="R452" s="2">
        <v>17169177</v>
      </c>
      <c r="S452" s="2" t="str">
        <f t="shared" si="37"/>
        <v>Highly Viral</v>
      </c>
      <c r="T452" s="2" t="s">
        <v>44</v>
      </c>
      <c r="U452" s="6" t="s">
        <v>48</v>
      </c>
    </row>
    <row r="453" spans="1:21" x14ac:dyDescent="0.3">
      <c r="A453" s="4" t="s">
        <v>513</v>
      </c>
      <c r="B453" s="9">
        <v>45373</v>
      </c>
      <c r="C453" s="4" t="s">
        <v>78</v>
      </c>
      <c r="D453" s="4" t="s">
        <v>60</v>
      </c>
      <c r="E453" s="4" t="s">
        <v>88</v>
      </c>
      <c r="F453" s="4" t="s">
        <v>41</v>
      </c>
      <c r="G453" s="4" t="s">
        <v>74</v>
      </c>
      <c r="H453" s="14">
        <v>17.100000000000001</v>
      </c>
      <c r="I453" s="2" t="str">
        <f t="shared" si="40"/>
        <v>Moderate Risk</v>
      </c>
      <c r="J453" s="4">
        <v>66.400000000000006</v>
      </c>
      <c r="K453" s="2" t="str">
        <f t="shared" si="38"/>
        <v>Moderate Confidence</v>
      </c>
      <c r="L453" s="4" t="s">
        <v>22</v>
      </c>
      <c r="M453" s="2" t="str">
        <f t="shared" si="41"/>
        <v>Human Content</v>
      </c>
      <c r="N453" s="4">
        <v>0.871</v>
      </c>
      <c r="O453" s="4" t="s">
        <v>30</v>
      </c>
      <c r="P453" s="4">
        <v>1360095</v>
      </c>
      <c r="Q453" s="2" t="str">
        <f t="shared" si="39"/>
        <v>Medium</v>
      </c>
      <c r="R453" s="4">
        <v>4852718</v>
      </c>
      <c r="S453" s="2" t="str">
        <f t="shared" ref="S453:S501" si="42">IF(R453&gt;5000000,"Highly Viral",IF(R453&gt;1000000,"Moderately Viral",IF(R453&lt;500000,"Low Viral")))</f>
        <v>Moderately Viral</v>
      </c>
      <c r="T453" s="4" t="s">
        <v>31</v>
      </c>
      <c r="U453" s="3" t="s">
        <v>25</v>
      </c>
    </row>
    <row r="454" spans="1:21" x14ac:dyDescent="0.3">
      <c r="A454" s="2" t="s">
        <v>514</v>
      </c>
      <c r="B454" s="8">
        <v>45656</v>
      </c>
      <c r="C454" s="2" t="s">
        <v>27</v>
      </c>
      <c r="D454" s="2" t="s">
        <v>55</v>
      </c>
      <c r="E454" s="2" t="s">
        <v>19</v>
      </c>
      <c r="F454" s="2" t="s">
        <v>52</v>
      </c>
      <c r="G454" s="2" t="s">
        <v>42</v>
      </c>
      <c r="H454" s="13">
        <v>76.900000000000006</v>
      </c>
      <c r="I454" s="2" t="str">
        <f t="shared" si="40"/>
        <v>High Risk</v>
      </c>
      <c r="J454" s="2">
        <v>71.900000000000006</v>
      </c>
      <c r="K454" s="2" t="str">
        <f t="shared" si="38"/>
        <v>High Confidence</v>
      </c>
      <c r="L454" s="2" t="s">
        <v>30</v>
      </c>
      <c r="M454" s="2" t="str">
        <f t="shared" si="41"/>
        <v>AI Generated</v>
      </c>
      <c r="N454" s="2">
        <v>0.626</v>
      </c>
      <c r="O454" s="2" t="s">
        <v>30</v>
      </c>
      <c r="P454" s="2">
        <v>1103797</v>
      </c>
      <c r="Q454" s="2" t="str">
        <f t="shared" si="39"/>
        <v>Medium</v>
      </c>
      <c r="R454" s="2">
        <v>6807073</v>
      </c>
      <c r="S454" s="2" t="str">
        <f t="shared" si="42"/>
        <v>Highly Viral</v>
      </c>
      <c r="T454" s="2" t="s">
        <v>61</v>
      </c>
      <c r="U454" s="6" t="s">
        <v>48</v>
      </c>
    </row>
    <row r="455" spans="1:21" x14ac:dyDescent="0.3">
      <c r="A455" s="4" t="s">
        <v>515</v>
      </c>
      <c r="B455" s="9">
        <v>45610</v>
      </c>
      <c r="C455" s="4" t="s">
        <v>34</v>
      </c>
      <c r="D455" s="4" t="s">
        <v>18</v>
      </c>
      <c r="E455" s="4" t="s">
        <v>71</v>
      </c>
      <c r="F455" s="4" t="s">
        <v>76</v>
      </c>
      <c r="G455" s="4" t="s">
        <v>74</v>
      </c>
      <c r="H455" s="14">
        <v>49.9</v>
      </c>
      <c r="I455" s="2" t="str">
        <f t="shared" si="40"/>
        <v>Moderate Risk</v>
      </c>
      <c r="J455" s="4">
        <v>89.6</v>
      </c>
      <c r="K455" s="2" t="str">
        <f t="shared" si="38"/>
        <v>High Confidence</v>
      </c>
      <c r="L455" s="4" t="s">
        <v>43</v>
      </c>
      <c r="M455" s="2" t="str">
        <f t="shared" si="41"/>
        <v>Human Content</v>
      </c>
      <c r="N455" s="4">
        <v>0.60799999999999998</v>
      </c>
      <c r="O455" s="4" t="s">
        <v>22</v>
      </c>
      <c r="P455" s="4">
        <v>1995568</v>
      </c>
      <c r="Q455" s="2" t="str">
        <f t="shared" si="39"/>
        <v>Medium</v>
      </c>
      <c r="R455" s="4">
        <v>7277578</v>
      </c>
      <c r="S455" s="2" t="str">
        <f t="shared" si="42"/>
        <v>Highly Viral</v>
      </c>
      <c r="T455" s="4" t="s">
        <v>44</v>
      </c>
      <c r="U455" s="5" t="s">
        <v>32</v>
      </c>
    </row>
    <row r="456" spans="1:21" x14ac:dyDescent="0.3">
      <c r="A456" s="2" t="s">
        <v>516</v>
      </c>
      <c r="B456" s="8">
        <v>45629</v>
      </c>
      <c r="C456" s="2" t="s">
        <v>54</v>
      </c>
      <c r="D456" s="2" t="s">
        <v>55</v>
      </c>
      <c r="E456" s="2" t="s">
        <v>88</v>
      </c>
      <c r="F456" s="2" t="s">
        <v>76</v>
      </c>
      <c r="G456" s="2" t="s">
        <v>67</v>
      </c>
      <c r="H456" s="13">
        <v>60.1</v>
      </c>
      <c r="I456" s="2" t="str">
        <f t="shared" si="40"/>
        <v>High Risk</v>
      </c>
      <c r="J456" s="2">
        <v>50.3</v>
      </c>
      <c r="K456" s="2" t="str">
        <f t="shared" si="38"/>
        <v>Moderate Confidence</v>
      </c>
      <c r="L456" s="2" t="s">
        <v>30</v>
      </c>
      <c r="M456" s="2" t="str">
        <f t="shared" si="41"/>
        <v>AI Generated</v>
      </c>
      <c r="N456" s="2">
        <v>0.88200000000000001</v>
      </c>
      <c r="O456" s="2" t="s">
        <v>22</v>
      </c>
      <c r="P456" s="2">
        <v>4677157</v>
      </c>
      <c r="Q456" s="2" t="str">
        <f t="shared" si="39"/>
        <v>High</v>
      </c>
      <c r="R456" s="2">
        <v>6967661</v>
      </c>
      <c r="S456" s="2" t="str">
        <f t="shared" si="42"/>
        <v>Highly Viral</v>
      </c>
      <c r="T456" s="2" t="s">
        <v>61</v>
      </c>
      <c r="U456" s="5" t="s">
        <v>32</v>
      </c>
    </row>
    <row r="457" spans="1:21" x14ac:dyDescent="0.3">
      <c r="A457" s="4" t="s">
        <v>517</v>
      </c>
      <c r="B457" s="9">
        <v>45386</v>
      </c>
      <c r="C457" s="4" t="s">
        <v>69</v>
      </c>
      <c r="D457" s="4" t="s">
        <v>18</v>
      </c>
      <c r="E457" s="4" t="s">
        <v>51</v>
      </c>
      <c r="F457" s="4" t="s">
        <v>41</v>
      </c>
      <c r="G457" s="4" t="s">
        <v>21</v>
      </c>
      <c r="H457" s="14">
        <v>85.4</v>
      </c>
      <c r="I457" s="2" t="str">
        <f t="shared" si="40"/>
        <v>High Risk</v>
      </c>
      <c r="J457" s="4">
        <v>82.7</v>
      </c>
      <c r="K457" s="2" t="str">
        <f t="shared" si="38"/>
        <v>High Confidence</v>
      </c>
      <c r="L457" s="4" t="s">
        <v>30</v>
      </c>
      <c r="M457" s="2" t="str">
        <f t="shared" si="41"/>
        <v>AI Generated</v>
      </c>
      <c r="N457" s="4">
        <v>0.83799999999999997</v>
      </c>
      <c r="O457" s="4" t="s">
        <v>22</v>
      </c>
      <c r="P457" s="4">
        <v>2777661</v>
      </c>
      <c r="Q457" s="2" t="str">
        <f t="shared" si="39"/>
        <v>Medium</v>
      </c>
      <c r="R457" s="4">
        <v>2943313</v>
      </c>
      <c r="S457" s="2" t="str">
        <f t="shared" si="42"/>
        <v>Moderately Viral</v>
      </c>
      <c r="T457" s="4" t="s">
        <v>61</v>
      </c>
      <c r="U457" s="6" t="s">
        <v>48</v>
      </c>
    </row>
    <row r="458" spans="1:21" x14ac:dyDescent="0.3">
      <c r="A458" s="2" t="s">
        <v>518</v>
      </c>
      <c r="B458" s="8">
        <v>45347</v>
      </c>
      <c r="C458" s="2" t="s">
        <v>78</v>
      </c>
      <c r="D458" s="2" t="s">
        <v>50</v>
      </c>
      <c r="E458" s="2" t="s">
        <v>35</v>
      </c>
      <c r="F458" s="2" t="s">
        <v>36</v>
      </c>
      <c r="G458" s="2" t="s">
        <v>64</v>
      </c>
      <c r="H458" s="13">
        <v>61.1</v>
      </c>
      <c r="I458" s="2" t="str">
        <f t="shared" si="40"/>
        <v>High Risk</v>
      </c>
      <c r="J458" s="2">
        <v>83.9</v>
      </c>
      <c r="K458" s="2" t="str">
        <f t="shared" si="38"/>
        <v>High Confidence</v>
      </c>
      <c r="L458" s="2" t="s">
        <v>30</v>
      </c>
      <c r="M458" s="2" t="str">
        <f t="shared" si="41"/>
        <v>AI Generated</v>
      </c>
      <c r="N458" s="2">
        <v>0.59499999999999997</v>
      </c>
      <c r="O458" s="2" t="s">
        <v>23</v>
      </c>
      <c r="P458" s="2">
        <v>1488400</v>
      </c>
      <c r="Q458" s="2" t="str">
        <f t="shared" si="39"/>
        <v>Medium</v>
      </c>
      <c r="R458" s="2">
        <v>15279102</v>
      </c>
      <c r="S458" s="2" t="str">
        <f t="shared" si="42"/>
        <v>Highly Viral</v>
      </c>
      <c r="T458" s="2" t="s">
        <v>44</v>
      </c>
      <c r="U458" s="5" t="s">
        <v>32</v>
      </c>
    </row>
    <row r="459" spans="1:21" x14ac:dyDescent="0.3">
      <c r="A459" s="4" t="s">
        <v>519</v>
      </c>
      <c r="B459" s="9">
        <v>45476</v>
      </c>
      <c r="C459" s="4" t="s">
        <v>27</v>
      </c>
      <c r="D459" s="4" t="s">
        <v>18</v>
      </c>
      <c r="E459" s="4" t="s">
        <v>19</v>
      </c>
      <c r="F459" s="4" t="s">
        <v>52</v>
      </c>
      <c r="G459" s="4" t="s">
        <v>64</v>
      </c>
      <c r="H459" s="14">
        <v>89.8</v>
      </c>
      <c r="I459" s="2" t="str">
        <f t="shared" si="40"/>
        <v>High Risk</v>
      </c>
      <c r="J459" s="4">
        <v>90.2</v>
      </c>
      <c r="K459" s="2" t="str">
        <f t="shared" si="38"/>
        <v>High Confidence</v>
      </c>
      <c r="L459" s="4" t="s">
        <v>30</v>
      </c>
      <c r="M459" s="2" t="str">
        <f t="shared" si="41"/>
        <v>AI Generated</v>
      </c>
      <c r="N459" s="4">
        <v>0.75800000000000001</v>
      </c>
      <c r="O459" s="4" t="s">
        <v>23</v>
      </c>
      <c r="P459" s="4">
        <v>544737</v>
      </c>
      <c r="Q459" s="2" t="str">
        <f t="shared" si="39"/>
        <v>Low</v>
      </c>
      <c r="R459" s="4">
        <v>9826335</v>
      </c>
      <c r="S459" s="2" t="str">
        <f t="shared" si="42"/>
        <v>Highly Viral</v>
      </c>
      <c r="T459" s="4" t="s">
        <v>24</v>
      </c>
      <c r="U459" s="6" t="s">
        <v>48</v>
      </c>
    </row>
    <row r="460" spans="1:21" x14ac:dyDescent="0.3">
      <c r="A460" s="2" t="s">
        <v>520</v>
      </c>
      <c r="B460" s="8">
        <v>45360</v>
      </c>
      <c r="C460" s="2" t="s">
        <v>17</v>
      </c>
      <c r="D460" s="2" t="s">
        <v>40</v>
      </c>
      <c r="E460" s="2" t="s">
        <v>51</v>
      </c>
      <c r="F460" s="2" t="s">
        <v>58</v>
      </c>
      <c r="G460" s="2" t="s">
        <v>37</v>
      </c>
      <c r="H460" s="13">
        <v>52.5</v>
      </c>
      <c r="I460" s="2" t="str">
        <f t="shared" si="40"/>
        <v>Moderate Risk</v>
      </c>
      <c r="J460" s="2">
        <v>84.1</v>
      </c>
      <c r="K460" s="2" t="str">
        <f t="shared" si="38"/>
        <v>High Confidence</v>
      </c>
      <c r="L460" s="2" t="s">
        <v>43</v>
      </c>
      <c r="M460" s="2" t="str">
        <f t="shared" si="41"/>
        <v>Human Content</v>
      </c>
      <c r="N460" s="2">
        <v>0.61199999999999999</v>
      </c>
      <c r="O460" s="2" t="s">
        <v>30</v>
      </c>
      <c r="P460" s="2">
        <v>4793074</v>
      </c>
      <c r="Q460" s="2" t="str">
        <f t="shared" si="39"/>
        <v>High</v>
      </c>
      <c r="R460" s="2">
        <v>17749003</v>
      </c>
      <c r="S460" s="2" t="str">
        <f t="shared" si="42"/>
        <v>Highly Viral</v>
      </c>
      <c r="T460" s="2" t="s">
        <v>61</v>
      </c>
      <c r="U460" s="5" t="s">
        <v>32</v>
      </c>
    </row>
    <row r="461" spans="1:21" x14ac:dyDescent="0.3">
      <c r="A461" s="4" t="s">
        <v>521</v>
      </c>
      <c r="B461" s="9">
        <v>45539</v>
      </c>
      <c r="C461" s="4" t="s">
        <v>34</v>
      </c>
      <c r="D461" s="4" t="s">
        <v>55</v>
      </c>
      <c r="E461" s="4" t="s">
        <v>51</v>
      </c>
      <c r="F461" s="4" t="s">
        <v>52</v>
      </c>
      <c r="G461" s="4" t="s">
        <v>29</v>
      </c>
      <c r="H461" s="14">
        <v>57.5</v>
      </c>
      <c r="I461" s="2" t="str">
        <f t="shared" si="40"/>
        <v>Moderate Risk</v>
      </c>
      <c r="J461" s="4">
        <v>80.5</v>
      </c>
      <c r="K461" s="2" t="str">
        <f t="shared" si="38"/>
        <v>High Confidence</v>
      </c>
      <c r="L461" s="4" t="s">
        <v>43</v>
      </c>
      <c r="M461" s="2" t="str">
        <f t="shared" si="41"/>
        <v>Human Content</v>
      </c>
      <c r="N461" s="4">
        <v>0.92700000000000005</v>
      </c>
      <c r="O461" s="4" t="s">
        <v>23</v>
      </c>
      <c r="P461" s="4">
        <v>4719818</v>
      </c>
      <c r="Q461" s="2" t="str">
        <f t="shared" si="39"/>
        <v>High</v>
      </c>
      <c r="R461" s="4">
        <v>16656816</v>
      </c>
      <c r="S461" s="2" t="str">
        <f t="shared" si="42"/>
        <v>Highly Viral</v>
      </c>
      <c r="T461" s="4" t="s">
        <v>44</v>
      </c>
      <c r="U461" s="5" t="s">
        <v>32</v>
      </c>
    </row>
    <row r="462" spans="1:21" x14ac:dyDescent="0.3">
      <c r="A462" s="2" t="s">
        <v>522</v>
      </c>
      <c r="B462" s="8">
        <v>45615</v>
      </c>
      <c r="C462" s="2" t="s">
        <v>54</v>
      </c>
      <c r="D462" s="2" t="s">
        <v>55</v>
      </c>
      <c r="E462" s="2" t="s">
        <v>35</v>
      </c>
      <c r="F462" s="2" t="s">
        <v>58</v>
      </c>
      <c r="G462" s="2" t="s">
        <v>21</v>
      </c>
      <c r="H462" s="13">
        <v>70.900000000000006</v>
      </c>
      <c r="I462" s="2" t="str">
        <f t="shared" si="40"/>
        <v>High Risk</v>
      </c>
      <c r="J462" s="2">
        <v>98</v>
      </c>
      <c r="K462" s="2" t="str">
        <f t="shared" si="38"/>
        <v>High Confidence</v>
      </c>
      <c r="L462" s="2" t="s">
        <v>30</v>
      </c>
      <c r="M462" s="2" t="str">
        <f t="shared" si="41"/>
        <v>AI Generated</v>
      </c>
      <c r="N462" s="2">
        <v>2E-3</v>
      </c>
      <c r="O462" s="2" t="s">
        <v>30</v>
      </c>
      <c r="P462" s="2">
        <v>3899843</v>
      </c>
      <c r="Q462" s="2" t="str">
        <f t="shared" si="39"/>
        <v>Medium</v>
      </c>
      <c r="R462" s="2">
        <v>3957430</v>
      </c>
      <c r="S462" s="2" t="str">
        <f t="shared" si="42"/>
        <v>Moderately Viral</v>
      </c>
      <c r="T462" s="2" t="s">
        <v>31</v>
      </c>
      <c r="U462" s="6" t="s">
        <v>48</v>
      </c>
    </row>
    <row r="463" spans="1:21" x14ac:dyDescent="0.3">
      <c r="A463" s="4" t="s">
        <v>523</v>
      </c>
      <c r="B463" s="9">
        <v>45607</v>
      </c>
      <c r="C463" s="4" t="s">
        <v>78</v>
      </c>
      <c r="D463" s="4" t="s">
        <v>55</v>
      </c>
      <c r="E463" s="4" t="s">
        <v>47</v>
      </c>
      <c r="F463" s="4" t="s">
        <v>52</v>
      </c>
      <c r="G463" s="4" t="s">
        <v>64</v>
      </c>
      <c r="H463" s="14">
        <v>56</v>
      </c>
      <c r="I463" s="2" t="str">
        <f t="shared" si="40"/>
        <v>Moderate Risk</v>
      </c>
      <c r="J463" s="4">
        <v>81.2</v>
      </c>
      <c r="K463" s="2" t="str">
        <f t="shared" si="38"/>
        <v>High Confidence</v>
      </c>
      <c r="L463" s="4" t="s">
        <v>43</v>
      </c>
      <c r="M463" s="2" t="str">
        <f t="shared" si="41"/>
        <v>Human Content</v>
      </c>
      <c r="N463" s="4">
        <v>1.0999999999999999E-2</v>
      </c>
      <c r="O463" s="4" t="s">
        <v>30</v>
      </c>
      <c r="P463" s="4">
        <v>2362556</v>
      </c>
      <c r="Q463" s="2" t="str">
        <f t="shared" si="39"/>
        <v>Medium</v>
      </c>
      <c r="R463" s="4">
        <v>8537335</v>
      </c>
      <c r="S463" s="2" t="str">
        <f t="shared" si="42"/>
        <v>Highly Viral</v>
      </c>
      <c r="T463" s="4" t="s">
        <v>61</v>
      </c>
      <c r="U463" s="5" t="s">
        <v>32</v>
      </c>
    </row>
    <row r="464" spans="1:21" x14ac:dyDescent="0.3">
      <c r="A464" s="2" t="s">
        <v>524</v>
      </c>
      <c r="B464" s="8">
        <v>45449</v>
      </c>
      <c r="C464" s="2" t="s">
        <v>34</v>
      </c>
      <c r="D464" s="2" t="s">
        <v>60</v>
      </c>
      <c r="E464" s="2" t="s">
        <v>51</v>
      </c>
      <c r="F464" s="2" t="s">
        <v>41</v>
      </c>
      <c r="G464" s="2" t="s">
        <v>67</v>
      </c>
      <c r="H464" s="13">
        <v>68.599999999999994</v>
      </c>
      <c r="I464" s="2" t="str">
        <f t="shared" si="40"/>
        <v>High Risk</v>
      </c>
      <c r="J464" s="2">
        <v>66.7</v>
      </c>
      <c r="K464" s="2" t="str">
        <f t="shared" si="38"/>
        <v>Moderate Confidence</v>
      </c>
      <c r="L464" s="2" t="s">
        <v>30</v>
      </c>
      <c r="M464" s="2" t="str">
        <f t="shared" si="41"/>
        <v>AI Generated</v>
      </c>
      <c r="N464" s="2">
        <v>0.72399999999999998</v>
      </c>
      <c r="O464" s="2" t="s">
        <v>23</v>
      </c>
      <c r="P464" s="2">
        <v>244354</v>
      </c>
      <c r="Q464" s="2" t="str">
        <f t="shared" si="39"/>
        <v>Low</v>
      </c>
      <c r="R464" s="2">
        <v>5893634</v>
      </c>
      <c r="S464" s="2" t="str">
        <f t="shared" si="42"/>
        <v>Highly Viral</v>
      </c>
      <c r="T464" s="2" t="s">
        <v>31</v>
      </c>
      <c r="U464" s="6" t="s">
        <v>48</v>
      </c>
    </row>
    <row r="465" spans="1:21" x14ac:dyDescent="0.3">
      <c r="A465" s="4" t="s">
        <v>525</v>
      </c>
      <c r="B465" s="9">
        <v>45461</v>
      </c>
      <c r="C465" s="4" t="s">
        <v>39</v>
      </c>
      <c r="D465" s="4" t="s">
        <v>55</v>
      </c>
      <c r="E465" s="4" t="s">
        <v>71</v>
      </c>
      <c r="F465" s="4" t="s">
        <v>41</v>
      </c>
      <c r="G465" s="4" t="s">
        <v>42</v>
      </c>
      <c r="H465" s="14">
        <v>13.6</v>
      </c>
      <c r="I465" s="2" t="str">
        <f t="shared" si="40"/>
        <v>Moderate Risk</v>
      </c>
      <c r="J465" s="4">
        <v>57.6</v>
      </c>
      <c r="K465" s="2" t="str">
        <f t="shared" si="38"/>
        <v>Moderate Confidence</v>
      </c>
      <c r="L465" s="4" t="s">
        <v>22</v>
      </c>
      <c r="M465" s="2" t="str">
        <f t="shared" si="41"/>
        <v>Human Content</v>
      </c>
      <c r="N465" s="4">
        <v>0.46100000000000002</v>
      </c>
      <c r="O465" s="4" t="s">
        <v>23</v>
      </c>
      <c r="P465" s="4">
        <v>2811203</v>
      </c>
      <c r="Q465" s="2" t="str">
        <f t="shared" si="39"/>
        <v>Medium</v>
      </c>
      <c r="R465" s="4">
        <v>15518420</v>
      </c>
      <c r="S465" s="2" t="str">
        <f t="shared" si="42"/>
        <v>Highly Viral</v>
      </c>
      <c r="T465" s="4" t="s">
        <v>24</v>
      </c>
      <c r="U465" s="3" t="s">
        <v>25</v>
      </c>
    </row>
    <row r="466" spans="1:21" x14ac:dyDescent="0.3">
      <c r="A466" s="2" t="s">
        <v>526</v>
      </c>
      <c r="B466" s="8">
        <v>45320</v>
      </c>
      <c r="C466" s="2" t="s">
        <v>34</v>
      </c>
      <c r="D466" s="2" t="s">
        <v>60</v>
      </c>
      <c r="E466" s="2" t="s">
        <v>51</v>
      </c>
      <c r="F466" s="2" t="s">
        <v>58</v>
      </c>
      <c r="G466" s="2" t="s">
        <v>29</v>
      </c>
      <c r="H466" s="13">
        <v>1.9</v>
      </c>
      <c r="I466" s="2" t="str">
        <f t="shared" si="40"/>
        <v>Moderate Risk</v>
      </c>
      <c r="J466" s="2">
        <v>78.3</v>
      </c>
      <c r="K466" s="2" t="str">
        <f t="shared" si="38"/>
        <v>High Confidence</v>
      </c>
      <c r="L466" s="2" t="s">
        <v>22</v>
      </c>
      <c r="M466" s="2" t="str">
        <f t="shared" si="41"/>
        <v>Human Content</v>
      </c>
      <c r="N466" s="2">
        <v>0.33200000000000002</v>
      </c>
      <c r="O466" s="2" t="s">
        <v>22</v>
      </c>
      <c r="P466" s="2">
        <v>555535</v>
      </c>
      <c r="Q466" s="2" t="str">
        <f t="shared" si="39"/>
        <v>Low</v>
      </c>
      <c r="R466" s="2">
        <v>5010341</v>
      </c>
      <c r="S466" s="2" t="str">
        <f t="shared" si="42"/>
        <v>Highly Viral</v>
      </c>
      <c r="T466" s="2" t="s">
        <v>56</v>
      </c>
      <c r="U466" s="3" t="s">
        <v>25</v>
      </c>
    </row>
    <row r="467" spans="1:21" x14ac:dyDescent="0.3">
      <c r="A467" s="4" t="s">
        <v>527</v>
      </c>
      <c r="B467" s="9">
        <v>45307</v>
      </c>
      <c r="C467" s="4" t="s">
        <v>39</v>
      </c>
      <c r="D467" s="4" t="s">
        <v>55</v>
      </c>
      <c r="E467" s="4" t="s">
        <v>35</v>
      </c>
      <c r="F467" s="4" t="s">
        <v>58</v>
      </c>
      <c r="G467" s="4" t="s">
        <v>29</v>
      </c>
      <c r="H467" s="14">
        <v>39</v>
      </c>
      <c r="I467" s="2" t="str">
        <f t="shared" si="40"/>
        <v>Moderate Risk</v>
      </c>
      <c r="J467" s="4">
        <v>79.2</v>
      </c>
      <c r="K467" s="2" t="str">
        <f t="shared" si="38"/>
        <v>High Confidence</v>
      </c>
      <c r="L467" s="4" t="s">
        <v>43</v>
      </c>
      <c r="M467" s="2" t="str">
        <f t="shared" si="41"/>
        <v>Human Content</v>
      </c>
      <c r="N467" s="4">
        <v>0.86499999999999999</v>
      </c>
      <c r="O467" s="4" t="s">
        <v>22</v>
      </c>
      <c r="P467" s="4">
        <v>2638312</v>
      </c>
      <c r="Q467" s="2" t="str">
        <f t="shared" si="39"/>
        <v>Medium</v>
      </c>
      <c r="R467" s="4">
        <v>1061766</v>
      </c>
      <c r="S467" s="2" t="str">
        <f t="shared" si="42"/>
        <v>Moderately Viral</v>
      </c>
      <c r="T467" s="4" t="s">
        <v>56</v>
      </c>
      <c r="U467" s="5" t="s">
        <v>32</v>
      </c>
    </row>
    <row r="468" spans="1:21" x14ac:dyDescent="0.3">
      <c r="A468" s="2" t="s">
        <v>528</v>
      </c>
      <c r="B468" s="8">
        <v>45503</v>
      </c>
      <c r="C468" s="2" t="s">
        <v>17</v>
      </c>
      <c r="D468" s="2" t="s">
        <v>55</v>
      </c>
      <c r="E468" s="2" t="s">
        <v>28</v>
      </c>
      <c r="F468" s="2" t="s">
        <v>52</v>
      </c>
      <c r="G468" s="2" t="s">
        <v>37</v>
      </c>
      <c r="H468" s="13">
        <v>82.9</v>
      </c>
      <c r="I468" s="2" t="str">
        <f t="shared" si="40"/>
        <v>High Risk</v>
      </c>
      <c r="J468" s="2">
        <v>64.8</v>
      </c>
      <c r="K468" s="2" t="str">
        <f t="shared" si="38"/>
        <v>Moderate Confidence</v>
      </c>
      <c r="L468" s="2" t="s">
        <v>30</v>
      </c>
      <c r="M468" s="2" t="str">
        <f t="shared" si="41"/>
        <v>AI Generated</v>
      </c>
      <c r="N468" s="2">
        <v>0.52500000000000002</v>
      </c>
      <c r="O468" s="2" t="s">
        <v>30</v>
      </c>
      <c r="P468" s="2">
        <v>941564</v>
      </c>
      <c r="Q468" s="2" t="str">
        <f t="shared" si="39"/>
        <v>Low</v>
      </c>
      <c r="R468" s="2">
        <v>12557094</v>
      </c>
      <c r="S468" s="2" t="str">
        <f t="shared" si="42"/>
        <v>Highly Viral</v>
      </c>
      <c r="T468" s="2" t="s">
        <v>61</v>
      </c>
      <c r="U468" s="6" t="s">
        <v>48</v>
      </c>
    </row>
    <row r="469" spans="1:21" x14ac:dyDescent="0.3">
      <c r="A469" s="4" t="s">
        <v>529</v>
      </c>
      <c r="B469" s="9">
        <v>45395</v>
      </c>
      <c r="C469" s="4" t="s">
        <v>17</v>
      </c>
      <c r="D469" s="4" t="s">
        <v>55</v>
      </c>
      <c r="E469" s="4" t="s">
        <v>47</v>
      </c>
      <c r="F469" s="4" t="s">
        <v>76</v>
      </c>
      <c r="G469" s="4" t="s">
        <v>29</v>
      </c>
      <c r="H469" s="14">
        <v>15.4</v>
      </c>
      <c r="I469" s="2" t="str">
        <f t="shared" si="40"/>
        <v>Moderate Risk</v>
      </c>
      <c r="J469" s="4">
        <v>66.7</v>
      </c>
      <c r="K469" s="2" t="str">
        <f t="shared" si="38"/>
        <v>Moderate Confidence</v>
      </c>
      <c r="L469" s="4" t="s">
        <v>22</v>
      </c>
      <c r="M469" s="2" t="str">
        <f t="shared" si="41"/>
        <v>Human Content</v>
      </c>
      <c r="N469" s="4">
        <v>0.48299999999999998</v>
      </c>
      <c r="O469" s="4" t="s">
        <v>23</v>
      </c>
      <c r="P469" s="4">
        <v>2603577</v>
      </c>
      <c r="Q469" s="2" t="str">
        <f t="shared" si="39"/>
        <v>Medium</v>
      </c>
      <c r="R469" s="4">
        <v>10984139</v>
      </c>
      <c r="S469" s="2" t="str">
        <f t="shared" si="42"/>
        <v>Highly Viral</v>
      </c>
      <c r="T469" s="4" t="s">
        <v>31</v>
      </c>
      <c r="U469" s="3" t="s">
        <v>25</v>
      </c>
    </row>
    <row r="470" spans="1:21" x14ac:dyDescent="0.3">
      <c r="A470" s="2" t="s">
        <v>530</v>
      </c>
      <c r="B470" s="8">
        <v>45342</v>
      </c>
      <c r="C470" s="2" t="s">
        <v>69</v>
      </c>
      <c r="D470" s="2" t="s">
        <v>50</v>
      </c>
      <c r="E470" s="2" t="s">
        <v>47</v>
      </c>
      <c r="F470" s="2" t="s">
        <v>76</v>
      </c>
      <c r="G470" s="2" t="s">
        <v>37</v>
      </c>
      <c r="H470" s="13">
        <v>71.400000000000006</v>
      </c>
      <c r="I470" s="2" t="str">
        <f t="shared" si="40"/>
        <v>High Risk</v>
      </c>
      <c r="J470" s="2">
        <v>75.599999999999994</v>
      </c>
      <c r="K470" s="2" t="str">
        <f t="shared" si="38"/>
        <v>High Confidence</v>
      </c>
      <c r="L470" s="2" t="s">
        <v>30</v>
      </c>
      <c r="M470" s="2" t="str">
        <f t="shared" si="41"/>
        <v>AI Generated</v>
      </c>
      <c r="N470" s="2">
        <v>4.0000000000000001E-3</v>
      </c>
      <c r="O470" s="2" t="s">
        <v>30</v>
      </c>
      <c r="P470" s="2">
        <v>4985345</v>
      </c>
      <c r="Q470" s="2" t="str">
        <f t="shared" si="39"/>
        <v>High</v>
      </c>
      <c r="R470" s="2">
        <v>2922282</v>
      </c>
      <c r="S470" s="2" t="str">
        <f t="shared" si="42"/>
        <v>Moderately Viral</v>
      </c>
      <c r="T470" s="2" t="s">
        <v>56</v>
      </c>
      <c r="U470" s="6" t="s">
        <v>48</v>
      </c>
    </row>
    <row r="471" spans="1:21" x14ac:dyDescent="0.3">
      <c r="A471" s="4" t="s">
        <v>531</v>
      </c>
      <c r="B471" s="9">
        <v>45531</v>
      </c>
      <c r="C471" s="4" t="s">
        <v>27</v>
      </c>
      <c r="D471" s="4" t="s">
        <v>18</v>
      </c>
      <c r="E471" s="4" t="s">
        <v>19</v>
      </c>
      <c r="F471" s="4" t="s">
        <v>41</v>
      </c>
      <c r="G471" s="4" t="s">
        <v>29</v>
      </c>
      <c r="H471" s="14">
        <v>75.8</v>
      </c>
      <c r="I471" s="2" t="str">
        <f t="shared" si="40"/>
        <v>High Risk</v>
      </c>
      <c r="J471" s="4">
        <v>81.3</v>
      </c>
      <c r="K471" s="2" t="str">
        <f t="shared" si="38"/>
        <v>High Confidence</v>
      </c>
      <c r="L471" s="4" t="s">
        <v>30</v>
      </c>
      <c r="M471" s="2" t="str">
        <f t="shared" si="41"/>
        <v>AI Generated</v>
      </c>
      <c r="N471" s="4">
        <v>0.21</v>
      </c>
      <c r="O471" s="4" t="s">
        <v>30</v>
      </c>
      <c r="P471" s="4">
        <v>1615289</v>
      </c>
      <c r="Q471" s="2" t="str">
        <f t="shared" si="39"/>
        <v>Medium</v>
      </c>
      <c r="R471" s="4">
        <v>9616105</v>
      </c>
      <c r="S471" s="2" t="str">
        <f t="shared" si="42"/>
        <v>Highly Viral</v>
      </c>
      <c r="T471" s="4" t="s">
        <v>56</v>
      </c>
      <c r="U471" s="6" t="s">
        <v>48</v>
      </c>
    </row>
    <row r="472" spans="1:21" x14ac:dyDescent="0.3">
      <c r="A472" s="2" t="s">
        <v>532</v>
      </c>
      <c r="B472" s="8">
        <v>45564</v>
      </c>
      <c r="C472" s="2" t="s">
        <v>39</v>
      </c>
      <c r="D472" s="2" t="s">
        <v>55</v>
      </c>
      <c r="E472" s="2" t="s">
        <v>73</v>
      </c>
      <c r="F472" s="2" t="s">
        <v>52</v>
      </c>
      <c r="G472" s="2" t="s">
        <v>21</v>
      </c>
      <c r="H472" s="13">
        <v>15.7</v>
      </c>
      <c r="I472" s="2" t="str">
        <f t="shared" si="40"/>
        <v>Moderate Risk</v>
      </c>
      <c r="J472" s="2">
        <v>55.6</v>
      </c>
      <c r="K472" s="2" t="str">
        <f t="shared" si="38"/>
        <v>Moderate Confidence</v>
      </c>
      <c r="L472" s="2" t="s">
        <v>22</v>
      </c>
      <c r="M472" s="2" t="str">
        <f t="shared" si="41"/>
        <v>Human Content</v>
      </c>
      <c r="N472" s="2">
        <v>0.95799999999999996</v>
      </c>
      <c r="O472" s="2" t="s">
        <v>23</v>
      </c>
      <c r="P472" s="2">
        <v>4312353</v>
      </c>
      <c r="Q472" s="2" t="str">
        <f t="shared" si="39"/>
        <v>High</v>
      </c>
      <c r="R472" s="2">
        <v>3435644</v>
      </c>
      <c r="S472" s="2" t="str">
        <f t="shared" si="42"/>
        <v>Moderately Viral</v>
      </c>
      <c r="T472" s="2" t="s">
        <v>31</v>
      </c>
      <c r="U472" s="3" t="s">
        <v>25</v>
      </c>
    </row>
    <row r="473" spans="1:21" x14ac:dyDescent="0.3">
      <c r="A473" s="4" t="s">
        <v>533</v>
      </c>
      <c r="B473" s="9">
        <v>45569</v>
      </c>
      <c r="C473" s="4" t="s">
        <v>39</v>
      </c>
      <c r="D473" s="4" t="s">
        <v>60</v>
      </c>
      <c r="E473" s="4" t="s">
        <v>51</v>
      </c>
      <c r="F473" s="4" t="s">
        <v>52</v>
      </c>
      <c r="G473" s="4" t="s">
        <v>21</v>
      </c>
      <c r="H473" s="14">
        <v>94.3</v>
      </c>
      <c r="I473" s="2" t="str">
        <f t="shared" si="40"/>
        <v>High Risk</v>
      </c>
      <c r="J473" s="4">
        <v>89.4</v>
      </c>
      <c r="K473" s="2" t="str">
        <f t="shared" ref="K473:K501" si="43">IF(J473&gt;70,"High Confidence",IF(J473&gt;30,"Moderate Confidence",IF(J473&lt;30,"Low Confidence")))</f>
        <v>High Confidence</v>
      </c>
      <c r="L473" s="4" t="s">
        <v>30</v>
      </c>
      <c r="M473" s="2" t="str">
        <f t="shared" si="41"/>
        <v>AI Generated</v>
      </c>
      <c r="N473" s="4">
        <v>0.57399999999999995</v>
      </c>
      <c r="O473" s="4" t="s">
        <v>30</v>
      </c>
      <c r="P473" s="4">
        <v>597728</v>
      </c>
      <c r="Q473" s="2" t="str">
        <f t="shared" si="39"/>
        <v>Low</v>
      </c>
      <c r="R473" s="4">
        <v>10448597</v>
      </c>
      <c r="S473" s="2" t="str">
        <f t="shared" si="42"/>
        <v>Highly Viral</v>
      </c>
      <c r="T473" s="4" t="s">
        <v>44</v>
      </c>
      <c r="U473" s="6" t="s">
        <v>48</v>
      </c>
    </row>
    <row r="474" spans="1:21" x14ac:dyDescent="0.3">
      <c r="A474" s="2" t="s">
        <v>534</v>
      </c>
      <c r="B474" s="8">
        <v>45465</v>
      </c>
      <c r="C474" s="2" t="s">
        <v>54</v>
      </c>
      <c r="D474" s="2" t="s">
        <v>18</v>
      </c>
      <c r="E474" s="2" t="s">
        <v>35</v>
      </c>
      <c r="F474" s="2" t="s">
        <v>41</v>
      </c>
      <c r="G474" s="2" t="s">
        <v>37</v>
      </c>
      <c r="H474" s="13">
        <v>90.3</v>
      </c>
      <c r="I474" s="2" t="str">
        <f t="shared" si="40"/>
        <v>High Risk</v>
      </c>
      <c r="J474" s="2">
        <v>52.5</v>
      </c>
      <c r="K474" s="2" t="str">
        <f t="shared" si="43"/>
        <v>Moderate Confidence</v>
      </c>
      <c r="L474" s="2" t="s">
        <v>30</v>
      </c>
      <c r="M474" s="2" t="str">
        <f t="shared" si="41"/>
        <v>AI Generated</v>
      </c>
      <c r="N474" s="2">
        <v>0.38400000000000001</v>
      </c>
      <c r="O474" s="2" t="s">
        <v>30</v>
      </c>
      <c r="P474" s="2">
        <v>3577553</v>
      </c>
      <c r="Q474" s="2" t="str">
        <f t="shared" si="39"/>
        <v>Medium</v>
      </c>
      <c r="R474" s="2">
        <v>13151044</v>
      </c>
      <c r="S474" s="2" t="str">
        <f t="shared" si="42"/>
        <v>Highly Viral</v>
      </c>
      <c r="T474" s="2" t="s">
        <v>31</v>
      </c>
      <c r="U474" s="6" t="s">
        <v>48</v>
      </c>
    </row>
    <row r="475" spans="1:21" x14ac:dyDescent="0.3">
      <c r="A475" s="4" t="s">
        <v>535</v>
      </c>
      <c r="B475" s="9">
        <v>45652</v>
      </c>
      <c r="C475" s="4" t="s">
        <v>54</v>
      </c>
      <c r="D475" s="4" t="s">
        <v>60</v>
      </c>
      <c r="E475" s="4" t="s">
        <v>51</v>
      </c>
      <c r="F475" s="4" t="s">
        <v>52</v>
      </c>
      <c r="G475" s="4" t="s">
        <v>64</v>
      </c>
      <c r="H475" s="14">
        <v>81.7</v>
      </c>
      <c r="I475" s="2" t="str">
        <f t="shared" si="40"/>
        <v>High Risk</v>
      </c>
      <c r="J475" s="4">
        <v>84.9</v>
      </c>
      <c r="K475" s="2" t="str">
        <f t="shared" si="43"/>
        <v>High Confidence</v>
      </c>
      <c r="L475" s="4" t="s">
        <v>30</v>
      </c>
      <c r="M475" s="2" t="str">
        <f t="shared" si="41"/>
        <v>AI Generated</v>
      </c>
      <c r="N475" s="4">
        <v>0.67100000000000004</v>
      </c>
      <c r="O475" s="4" t="s">
        <v>23</v>
      </c>
      <c r="P475" s="4">
        <v>658988</v>
      </c>
      <c r="Q475" s="2" t="str">
        <f t="shared" si="39"/>
        <v>Low</v>
      </c>
      <c r="R475" s="4">
        <v>15626643</v>
      </c>
      <c r="S475" s="2" t="str">
        <f t="shared" si="42"/>
        <v>Highly Viral</v>
      </c>
      <c r="T475" s="4" t="s">
        <v>44</v>
      </c>
      <c r="U475" s="6" t="s">
        <v>48</v>
      </c>
    </row>
    <row r="476" spans="1:21" x14ac:dyDescent="0.3">
      <c r="A476" s="2" t="s">
        <v>536</v>
      </c>
      <c r="B476" s="8">
        <v>45359</v>
      </c>
      <c r="C476" s="2" t="s">
        <v>17</v>
      </c>
      <c r="D476" s="2" t="s">
        <v>55</v>
      </c>
      <c r="E476" s="2" t="s">
        <v>73</v>
      </c>
      <c r="F476" s="2" t="s">
        <v>76</v>
      </c>
      <c r="G476" s="2" t="s">
        <v>64</v>
      </c>
      <c r="H476" s="13">
        <v>68.400000000000006</v>
      </c>
      <c r="I476" s="2" t="str">
        <f t="shared" si="40"/>
        <v>High Risk</v>
      </c>
      <c r="J476" s="2">
        <v>84.8</v>
      </c>
      <c r="K476" s="2" t="str">
        <f t="shared" si="43"/>
        <v>High Confidence</v>
      </c>
      <c r="L476" s="2" t="s">
        <v>30</v>
      </c>
      <c r="M476" s="2" t="str">
        <f t="shared" si="41"/>
        <v>AI Generated</v>
      </c>
      <c r="N476" s="2">
        <v>0.46500000000000002</v>
      </c>
      <c r="O476" s="2" t="s">
        <v>30</v>
      </c>
      <c r="P476" s="2">
        <v>1877423</v>
      </c>
      <c r="Q476" s="2" t="str">
        <f t="shared" si="39"/>
        <v>Medium</v>
      </c>
      <c r="R476" s="2">
        <v>4822999</v>
      </c>
      <c r="S476" s="2" t="str">
        <f t="shared" si="42"/>
        <v>Moderately Viral</v>
      </c>
      <c r="T476" s="2" t="s">
        <v>44</v>
      </c>
      <c r="U476" s="6" t="s">
        <v>48</v>
      </c>
    </row>
    <row r="477" spans="1:21" x14ac:dyDescent="0.3">
      <c r="A477" s="4" t="s">
        <v>537</v>
      </c>
      <c r="B477" s="9">
        <v>45424</v>
      </c>
      <c r="C477" s="4" t="s">
        <v>39</v>
      </c>
      <c r="D477" s="4" t="s">
        <v>55</v>
      </c>
      <c r="E477" s="4" t="s">
        <v>35</v>
      </c>
      <c r="F477" s="4" t="s">
        <v>36</v>
      </c>
      <c r="G477" s="4" t="s">
        <v>42</v>
      </c>
      <c r="H477" s="14">
        <v>33</v>
      </c>
      <c r="I477" s="2" t="str">
        <f t="shared" si="40"/>
        <v>Moderate Risk</v>
      </c>
      <c r="J477" s="4">
        <v>92.2</v>
      </c>
      <c r="K477" s="2" t="str">
        <f t="shared" si="43"/>
        <v>High Confidence</v>
      </c>
      <c r="L477" s="4" t="s">
        <v>22</v>
      </c>
      <c r="M477" s="2" t="str">
        <f t="shared" si="41"/>
        <v>Human Content</v>
      </c>
      <c r="N477" s="4">
        <v>0.32500000000000001</v>
      </c>
      <c r="O477" s="4" t="s">
        <v>22</v>
      </c>
      <c r="P477" s="4">
        <v>253973</v>
      </c>
      <c r="Q477" s="2" t="str">
        <f t="shared" si="39"/>
        <v>Low</v>
      </c>
      <c r="R477" s="4">
        <v>2193792</v>
      </c>
      <c r="S477" s="2" t="str">
        <f t="shared" si="42"/>
        <v>Moderately Viral</v>
      </c>
      <c r="T477" s="4" t="s">
        <v>24</v>
      </c>
      <c r="U477" s="3" t="s">
        <v>25</v>
      </c>
    </row>
    <row r="478" spans="1:21" x14ac:dyDescent="0.3">
      <c r="A478" s="2" t="s">
        <v>538</v>
      </c>
      <c r="B478" s="8">
        <v>45349</v>
      </c>
      <c r="C478" s="2" t="s">
        <v>39</v>
      </c>
      <c r="D478" s="2" t="s">
        <v>55</v>
      </c>
      <c r="E478" s="2" t="s">
        <v>71</v>
      </c>
      <c r="F478" s="2" t="s">
        <v>20</v>
      </c>
      <c r="G478" s="2" t="s">
        <v>64</v>
      </c>
      <c r="H478" s="13">
        <v>76.8</v>
      </c>
      <c r="I478" s="2" t="str">
        <f t="shared" si="40"/>
        <v>High Risk</v>
      </c>
      <c r="J478" s="2">
        <v>79.599999999999994</v>
      </c>
      <c r="K478" s="2" t="str">
        <f t="shared" si="43"/>
        <v>High Confidence</v>
      </c>
      <c r="L478" s="2" t="s">
        <v>30</v>
      </c>
      <c r="M478" s="2" t="str">
        <f t="shared" si="41"/>
        <v>AI Generated</v>
      </c>
      <c r="N478" s="2">
        <v>0.127</v>
      </c>
      <c r="O478" s="2" t="s">
        <v>30</v>
      </c>
      <c r="P478" s="2">
        <v>3403240</v>
      </c>
      <c r="Q478" s="2" t="str">
        <f t="shared" si="39"/>
        <v>Medium</v>
      </c>
      <c r="R478" s="2">
        <v>3590196</v>
      </c>
      <c r="S478" s="2" t="str">
        <f t="shared" si="42"/>
        <v>Moderately Viral</v>
      </c>
      <c r="T478" s="2" t="s">
        <v>56</v>
      </c>
      <c r="U478" s="6" t="s">
        <v>48</v>
      </c>
    </row>
    <row r="479" spans="1:21" x14ac:dyDescent="0.3">
      <c r="A479" s="4" t="s">
        <v>539</v>
      </c>
      <c r="B479" s="9">
        <v>45576</v>
      </c>
      <c r="C479" s="4" t="s">
        <v>17</v>
      </c>
      <c r="D479" s="4" t="s">
        <v>40</v>
      </c>
      <c r="E479" s="4" t="s">
        <v>71</v>
      </c>
      <c r="F479" s="4" t="s">
        <v>76</v>
      </c>
      <c r="G479" s="4" t="s">
        <v>29</v>
      </c>
      <c r="H479" s="14">
        <v>41.3</v>
      </c>
      <c r="I479" s="2" t="str">
        <f t="shared" si="40"/>
        <v>Moderate Risk</v>
      </c>
      <c r="J479" s="4">
        <v>80.400000000000006</v>
      </c>
      <c r="K479" s="2" t="str">
        <f t="shared" si="43"/>
        <v>High Confidence</v>
      </c>
      <c r="L479" s="4" t="s">
        <v>43</v>
      </c>
      <c r="M479" s="2" t="str">
        <f t="shared" si="41"/>
        <v>Human Content</v>
      </c>
      <c r="N479" s="4">
        <v>0.54800000000000004</v>
      </c>
      <c r="O479" s="4" t="s">
        <v>22</v>
      </c>
      <c r="P479" s="4">
        <v>3219785</v>
      </c>
      <c r="Q479" s="2" t="str">
        <f t="shared" si="39"/>
        <v>Medium</v>
      </c>
      <c r="R479" s="4">
        <v>2217103</v>
      </c>
      <c r="S479" s="2" t="str">
        <f t="shared" si="42"/>
        <v>Moderately Viral</v>
      </c>
      <c r="T479" s="4" t="s">
        <v>56</v>
      </c>
      <c r="U479" s="5" t="s">
        <v>32</v>
      </c>
    </row>
    <row r="480" spans="1:21" x14ac:dyDescent="0.3">
      <c r="A480" s="2" t="s">
        <v>540</v>
      </c>
      <c r="B480" s="8">
        <v>45398</v>
      </c>
      <c r="C480" s="2" t="s">
        <v>78</v>
      </c>
      <c r="D480" s="2" t="s">
        <v>55</v>
      </c>
      <c r="E480" s="2" t="s">
        <v>51</v>
      </c>
      <c r="F480" s="2" t="s">
        <v>58</v>
      </c>
      <c r="G480" s="2" t="s">
        <v>42</v>
      </c>
      <c r="H480" s="13">
        <v>23.6</v>
      </c>
      <c r="I480" s="2" t="str">
        <f t="shared" si="40"/>
        <v>Moderate Risk</v>
      </c>
      <c r="J480" s="2">
        <v>82.5</v>
      </c>
      <c r="K480" s="2" t="str">
        <f t="shared" si="43"/>
        <v>High Confidence</v>
      </c>
      <c r="L480" s="2" t="s">
        <v>22</v>
      </c>
      <c r="M480" s="2" t="str">
        <f t="shared" si="41"/>
        <v>Human Content</v>
      </c>
      <c r="N480" s="2">
        <v>7.8E-2</v>
      </c>
      <c r="O480" s="2" t="s">
        <v>23</v>
      </c>
      <c r="P480" s="2">
        <v>4816740</v>
      </c>
      <c r="Q480" s="2" t="str">
        <f t="shared" si="39"/>
        <v>High</v>
      </c>
      <c r="R480" s="2">
        <v>16329103</v>
      </c>
      <c r="S480" s="2" t="str">
        <f t="shared" si="42"/>
        <v>Highly Viral</v>
      </c>
      <c r="T480" s="2" t="s">
        <v>61</v>
      </c>
      <c r="U480" s="3" t="s">
        <v>25</v>
      </c>
    </row>
    <row r="481" spans="1:21" x14ac:dyDescent="0.3">
      <c r="A481" s="4" t="s">
        <v>541</v>
      </c>
      <c r="B481" s="9">
        <v>45595</v>
      </c>
      <c r="C481" s="4" t="s">
        <v>54</v>
      </c>
      <c r="D481" s="4" t="s">
        <v>40</v>
      </c>
      <c r="E481" s="4" t="s">
        <v>73</v>
      </c>
      <c r="F481" s="4" t="s">
        <v>76</v>
      </c>
      <c r="G481" s="4" t="s">
        <v>21</v>
      </c>
      <c r="H481" s="14">
        <v>30.8</v>
      </c>
      <c r="I481" s="2" t="str">
        <f t="shared" si="40"/>
        <v>Moderate Risk</v>
      </c>
      <c r="J481" s="4">
        <v>69.900000000000006</v>
      </c>
      <c r="K481" s="2" t="str">
        <f t="shared" si="43"/>
        <v>Moderate Confidence</v>
      </c>
      <c r="L481" s="4" t="s">
        <v>22</v>
      </c>
      <c r="M481" s="2" t="str">
        <f t="shared" si="41"/>
        <v>Human Content</v>
      </c>
      <c r="N481" s="4">
        <v>0.59799999999999998</v>
      </c>
      <c r="O481" s="4" t="s">
        <v>23</v>
      </c>
      <c r="P481" s="4">
        <v>3178635</v>
      </c>
      <c r="Q481" s="2" t="str">
        <f t="shared" si="39"/>
        <v>Medium</v>
      </c>
      <c r="R481" s="4">
        <v>10986497</v>
      </c>
      <c r="S481" s="2" t="str">
        <f t="shared" si="42"/>
        <v>Highly Viral</v>
      </c>
      <c r="T481" s="4" t="s">
        <v>24</v>
      </c>
      <c r="U481" s="3" t="s">
        <v>25</v>
      </c>
    </row>
    <row r="482" spans="1:21" x14ac:dyDescent="0.3">
      <c r="A482" s="2" t="s">
        <v>542</v>
      </c>
      <c r="B482" s="8">
        <v>45622</v>
      </c>
      <c r="C482" s="2" t="s">
        <v>27</v>
      </c>
      <c r="D482" s="2" t="s">
        <v>18</v>
      </c>
      <c r="E482" s="2" t="s">
        <v>28</v>
      </c>
      <c r="F482" s="2" t="s">
        <v>20</v>
      </c>
      <c r="G482" s="2" t="s">
        <v>29</v>
      </c>
      <c r="H482" s="13">
        <v>90.3</v>
      </c>
      <c r="I482" s="2" t="str">
        <f t="shared" si="40"/>
        <v>High Risk</v>
      </c>
      <c r="J482" s="2">
        <v>81.2</v>
      </c>
      <c r="K482" s="2" t="str">
        <f t="shared" si="43"/>
        <v>High Confidence</v>
      </c>
      <c r="L482" s="2" t="s">
        <v>30</v>
      </c>
      <c r="M482" s="2" t="str">
        <f t="shared" si="41"/>
        <v>AI Generated</v>
      </c>
      <c r="N482" s="2">
        <v>0</v>
      </c>
      <c r="O482" s="2" t="s">
        <v>30</v>
      </c>
      <c r="P482" s="2">
        <v>1251818</v>
      </c>
      <c r="Q482" s="2" t="str">
        <f t="shared" si="39"/>
        <v>Medium</v>
      </c>
      <c r="R482" s="2">
        <v>15199799</v>
      </c>
      <c r="S482" s="2" t="str">
        <f t="shared" si="42"/>
        <v>Highly Viral</v>
      </c>
      <c r="T482" s="2" t="s">
        <v>44</v>
      </c>
      <c r="U482" s="6" t="s">
        <v>48</v>
      </c>
    </row>
    <row r="483" spans="1:21" x14ac:dyDescent="0.3">
      <c r="A483" s="4" t="s">
        <v>543</v>
      </c>
      <c r="B483" s="9">
        <v>45441</v>
      </c>
      <c r="C483" s="4" t="s">
        <v>78</v>
      </c>
      <c r="D483" s="4" t="s">
        <v>60</v>
      </c>
      <c r="E483" s="4" t="s">
        <v>71</v>
      </c>
      <c r="F483" s="4" t="s">
        <v>20</v>
      </c>
      <c r="G483" s="4" t="s">
        <v>21</v>
      </c>
      <c r="H483" s="14">
        <v>68.2</v>
      </c>
      <c r="I483" s="2" t="str">
        <f t="shared" si="40"/>
        <v>High Risk</v>
      </c>
      <c r="J483" s="4">
        <v>65.5</v>
      </c>
      <c r="K483" s="2" t="str">
        <f t="shared" si="43"/>
        <v>Moderate Confidence</v>
      </c>
      <c r="L483" s="4" t="s">
        <v>30</v>
      </c>
      <c r="M483" s="2" t="str">
        <f t="shared" si="41"/>
        <v>AI Generated</v>
      </c>
      <c r="N483" s="4">
        <v>0.56999999999999995</v>
      </c>
      <c r="O483" s="4" t="s">
        <v>23</v>
      </c>
      <c r="P483" s="4">
        <v>2554851</v>
      </c>
      <c r="Q483" s="2" t="str">
        <f t="shared" si="39"/>
        <v>Medium</v>
      </c>
      <c r="R483" s="4">
        <v>14587518</v>
      </c>
      <c r="S483" s="2" t="str">
        <f t="shared" si="42"/>
        <v>Highly Viral</v>
      </c>
      <c r="T483" s="4" t="s">
        <v>56</v>
      </c>
      <c r="U483" s="6" t="s">
        <v>48</v>
      </c>
    </row>
    <row r="484" spans="1:21" x14ac:dyDescent="0.3">
      <c r="A484" s="2" t="s">
        <v>544</v>
      </c>
      <c r="B484" s="8">
        <v>45337</v>
      </c>
      <c r="C484" s="2" t="s">
        <v>27</v>
      </c>
      <c r="D484" s="2" t="s">
        <v>60</v>
      </c>
      <c r="E484" s="2" t="s">
        <v>88</v>
      </c>
      <c r="F484" s="2" t="s">
        <v>20</v>
      </c>
      <c r="G484" s="2" t="s">
        <v>74</v>
      </c>
      <c r="H484" s="13">
        <v>29.4</v>
      </c>
      <c r="I484" s="2" t="str">
        <f t="shared" si="40"/>
        <v>Moderate Risk</v>
      </c>
      <c r="J484" s="2">
        <v>68.099999999999994</v>
      </c>
      <c r="K484" s="2" t="str">
        <f t="shared" si="43"/>
        <v>Moderate Confidence</v>
      </c>
      <c r="L484" s="2" t="s">
        <v>22</v>
      </c>
      <c r="M484" s="2" t="str">
        <f t="shared" si="41"/>
        <v>Human Content</v>
      </c>
      <c r="N484" s="2">
        <v>0.54900000000000004</v>
      </c>
      <c r="O484" s="2" t="s">
        <v>30</v>
      </c>
      <c r="P484" s="2">
        <v>7174</v>
      </c>
      <c r="Q484" s="2" t="str">
        <f t="shared" si="39"/>
        <v>Low</v>
      </c>
      <c r="R484" s="2">
        <v>18791997</v>
      </c>
      <c r="S484" s="2" t="str">
        <f t="shared" si="42"/>
        <v>Highly Viral</v>
      </c>
      <c r="T484" s="2" t="s">
        <v>56</v>
      </c>
      <c r="U484" s="3" t="s">
        <v>25</v>
      </c>
    </row>
    <row r="485" spans="1:21" x14ac:dyDescent="0.3">
      <c r="A485" s="4" t="s">
        <v>545</v>
      </c>
      <c r="B485" s="9">
        <v>45348</v>
      </c>
      <c r="C485" s="4" t="s">
        <v>34</v>
      </c>
      <c r="D485" s="4" t="s">
        <v>18</v>
      </c>
      <c r="E485" s="4" t="s">
        <v>28</v>
      </c>
      <c r="F485" s="4" t="s">
        <v>76</v>
      </c>
      <c r="G485" s="4" t="s">
        <v>42</v>
      </c>
      <c r="H485" s="14">
        <v>59</v>
      </c>
      <c r="I485" s="2" t="str">
        <f t="shared" si="40"/>
        <v>Moderate Risk</v>
      </c>
      <c r="J485" s="4">
        <v>80.599999999999994</v>
      </c>
      <c r="K485" s="2" t="str">
        <f t="shared" si="43"/>
        <v>High Confidence</v>
      </c>
      <c r="L485" s="4" t="s">
        <v>43</v>
      </c>
      <c r="M485" s="2" t="str">
        <f t="shared" si="41"/>
        <v>Human Content</v>
      </c>
      <c r="N485" s="4">
        <v>0.71199999999999997</v>
      </c>
      <c r="O485" s="4" t="s">
        <v>22</v>
      </c>
      <c r="P485" s="4">
        <v>3200899</v>
      </c>
      <c r="Q485" s="2" t="str">
        <f t="shared" si="39"/>
        <v>Medium</v>
      </c>
      <c r="R485" s="4">
        <v>14603054</v>
      </c>
      <c r="S485" s="2" t="str">
        <f t="shared" si="42"/>
        <v>Highly Viral</v>
      </c>
      <c r="T485" s="4" t="s">
        <v>44</v>
      </c>
      <c r="U485" s="5" t="s">
        <v>32</v>
      </c>
    </row>
    <row r="486" spans="1:21" x14ac:dyDescent="0.3">
      <c r="A486" s="2" t="s">
        <v>546</v>
      </c>
      <c r="B486" s="8">
        <v>45400</v>
      </c>
      <c r="C486" s="2" t="s">
        <v>69</v>
      </c>
      <c r="D486" s="2" t="s">
        <v>55</v>
      </c>
      <c r="E486" s="2" t="s">
        <v>35</v>
      </c>
      <c r="F486" s="2" t="s">
        <v>20</v>
      </c>
      <c r="G486" s="2" t="s">
        <v>29</v>
      </c>
      <c r="H486" s="13">
        <v>38.5</v>
      </c>
      <c r="I486" s="2" t="str">
        <f t="shared" si="40"/>
        <v>Moderate Risk</v>
      </c>
      <c r="J486" s="2">
        <v>95.3</v>
      </c>
      <c r="K486" s="2" t="str">
        <f t="shared" si="43"/>
        <v>High Confidence</v>
      </c>
      <c r="L486" s="2" t="s">
        <v>43</v>
      </c>
      <c r="M486" s="2" t="str">
        <f t="shared" si="41"/>
        <v>Human Content</v>
      </c>
      <c r="N486" s="2">
        <v>0.84</v>
      </c>
      <c r="O486" s="2" t="s">
        <v>30</v>
      </c>
      <c r="P486" s="2">
        <v>2419969</v>
      </c>
      <c r="Q486" s="2" t="str">
        <f t="shared" si="39"/>
        <v>Medium</v>
      </c>
      <c r="R486" s="2">
        <v>4213230</v>
      </c>
      <c r="S486" s="2" t="str">
        <f t="shared" si="42"/>
        <v>Moderately Viral</v>
      </c>
      <c r="T486" s="2" t="s">
        <v>31</v>
      </c>
      <c r="U486" s="5" t="s">
        <v>32</v>
      </c>
    </row>
    <row r="487" spans="1:21" x14ac:dyDescent="0.3">
      <c r="A487" s="4" t="s">
        <v>547</v>
      </c>
      <c r="B487" s="9">
        <v>45297</v>
      </c>
      <c r="C487" s="4" t="s">
        <v>17</v>
      </c>
      <c r="D487" s="4" t="s">
        <v>18</v>
      </c>
      <c r="E487" s="4" t="s">
        <v>35</v>
      </c>
      <c r="F487" s="4" t="s">
        <v>36</v>
      </c>
      <c r="G487" s="4" t="s">
        <v>37</v>
      </c>
      <c r="H487" s="14">
        <v>65.8</v>
      </c>
      <c r="I487" s="2" t="str">
        <f t="shared" si="40"/>
        <v>High Risk</v>
      </c>
      <c r="J487" s="4">
        <v>97.8</v>
      </c>
      <c r="K487" s="2" t="str">
        <f t="shared" si="43"/>
        <v>High Confidence</v>
      </c>
      <c r="L487" s="4" t="s">
        <v>30</v>
      </c>
      <c r="M487" s="2" t="str">
        <f t="shared" si="41"/>
        <v>AI Generated</v>
      </c>
      <c r="N487" s="4">
        <v>0.13600000000000001</v>
      </c>
      <c r="O487" s="4" t="s">
        <v>30</v>
      </c>
      <c r="P487" s="4">
        <v>3488548</v>
      </c>
      <c r="Q487" s="2" t="str">
        <f t="shared" ref="Q487:Q501" si="44">IF(P487&gt;4000000,"High",IF(P487&gt;1000000,"Medium",IF(P487&lt;1000000,"Low")))</f>
        <v>Medium</v>
      </c>
      <c r="R487" s="4">
        <v>15302282</v>
      </c>
      <c r="S487" s="2" t="str">
        <f t="shared" si="42"/>
        <v>Highly Viral</v>
      </c>
      <c r="T487" s="4" t="s">
        <v>44</v>
      </c>
      <c r="U487" s="6" t="s">
        <v>48</v>
      </c>
    </row>
    <row r="488" spans="1:21" x14ac:dyDescent="0.3">
      <c r="A488" s="2" t="s">
        <v>548</v>
      </c>
      <c r="B488" s="8">
        <v>45509</v>
      </c>
      <c r="C488" s="2" t="s">
        <v>69</v>
      </c>
      <c r="D488" s="2" t="s">
        <v>55</v>
      </c>
      <c r="E488" s="2" t="s">
        <v>88</v>
      </c>
      <c r="F488" s="2" t="s">
        <v>58</v>
      </c>
      <c r="G488" s="2" t="s">
        <v>74</v>
      </c>
      <c r="H488" s="13">
        <v>45</v>
      </c>
      <c r="I488" s="2" t="str">
        <f t="shared" si="40"/>
        <v>Moderate Risk</v>
      </c>
      <c r="J488" s="2">
        <v>67.400000000000006</v>
      </c>
      <c r="K488" s="2" t="str">
        <f t="shared" si="43"/>
        <v>Moderate Confidence</v>
      </c>
      <c r="L488" s="2" t="s">
        <v>43</v>
      </c>
      <c r="M488" s="2" t="str">
        <f t="shared" si="41"/>
        <v>Human Content</v>
      </c>
      <c r="N488" s="2">
        <v>0.186</v>
      </c>
      <c r="O488" s="2" t="s">
        <v>23</v>
      </c>
      <c r="P488" s="2">
        <v>62427</v>
      </c>
      <c r="Q488" s="2" t="str">
        <f t="shared" si="44"/>
        <v>Low</v>
      </c>
      <c r="R488" s="2">
        <v>19392898</v>
      </c>
      <c r="S488" s="2" t="str">
        <f t="shared" si="42"/>
        <v>Highly Viral</v>
      </c>
      <c r="T488" s="2" t="s">
        <v>24</v>
      </c>
      <c r="U488" s="5" t="s">
        <v>32</v>
      </c>
    </row>
    <row r="489" spans="1:21" x14ac:dyDescent="0.3">
      <c r="A489" s="4" t="s">
        <v>549</v>
      </c>
      <c r="B489" s="9">
        <v>45413</v>
      </c>
      <c r="C489" s="4" t="s">
        <v>34</v>
      </c>
      <c r="D489" s="4" t="s">
        <v>55</v>
      </c>
      <c r="E489" s="4" t="s">
        <v>51</v>
      </c>
      <c r="F489" s="4" t="s">
        <v>41</v>
      </c>
      <c r="G489" s="4" t="s">
        <v>67</v>
      </c>
      <c r="H489" s="14">
        <v>56.8</v>
      </c>
      <c r="I489" s="2" t="str">
        <f t="shared" si="40"/>
        <v>Moderate Risk</v>
      </c>
      <c r="J489" s="4">
        <v>84.5</v>
      </c>
      <c r="K489" s="2" t="str">
        <f t="shared" si="43"/>
        <v>High Confidence</v>
      </c>
      <c r="L489" s="4" t="s">
        <v>43</v>
      </c>
      <c r="M489" s="2" t="str">
        <f t="shared" si="41"/>
        <v>Human Content</v>
      </c>
      <c r="N489" s="4">
        <v>0.113</v>
      </c>
      <c r="O489" s="4" t="s">
        <v>22</v>
      </c>
      <c r="P489" s="4">
        <v>671718</v>
      </c>
      <c r="Q489" s="2" t="str">
        <f t="shared" si="44"/>
        <v>Low</v>
      </c>
      <c r="R489" s="4">
        <v>4768164</v>
      </c>
      <c r="S489" s="2" t="str">
        <f t="shared" si="42"/>
        <v>Moderately Viral</v>
      </c>
      <c r="T489" s="4" t="s">
        <v>44</v>
      </c>
      <c r="U489" s="5" t="s">
        <v>32</v>
      </c>
    </row>
    <row r="490" spans="1:21" x14ac:dyDescent="0.3">
      <c r="A490" s="2" t="s">
        <v>550</v>
      </c>
      <c r="B490" s="8">
        <v>45435</v>
      </c>
      <c r="C490" s="2" t="s">
        <v>54</v>
      </c>
      <c r="D490" s="2" t="s">
        <v>60</v>
      </c>
      <c r="E490" s="2" t="s">
        <v>73</v>
      </c>
      <c r="F490" s="2" t="s">
        <v>58</v>
      </c>
      <c r="G490" s="2" t="s">
        <v>29</v>
      </c>
      <c r="H490" s="13">
        <v>8.8000000000000007</v>
      </c>
      <c r="I490" s="2" t="str">
        <f t="shared" si="40"/>
        <v>Moderate Risk</v>
      </c>
      <c r="J490" s="2">
        <v>73.2</v>
      </c>
      <c r="K490" s="2" t="str">
        <f t="shared" si="43"/>
        <v>High Confidence</v>
      </c>
      <c r="L490" s="2" t="s">
        <v>22</v>
      </c>
      <c r="M490" s="2" t="str">
        <f t="shared" si="41"/>
        <v>Human Content</v>
      </c>
      <c r="N490" s="2">
        <v>0.74199999999999999</v>
      </c>
      <c r="O490" s="2" t="s">
        <v>23</v>
      </c>
      <c r="P490" s="2">
        <v>655098</v>
      </c>
      <c r="Q490" s="2" t="str">
        <f t="shared" si="44"/>
        <v>Low</v>
      </c>
      <c r="R490" s="2">
        <v>18092956</v>
      </c>
      <c r="S490" s="2" t="str">
        <f t="shared" si="42"/>
        <v>Highly Viral</v>
      </c>
      <c r="T490" s="2" t="s">
        <v>44</v>
      </c>
      <c r="U490" s="3" t="s">
        <v>25</v>
      </c>
    </row>
    <row r="491" spans="1:21" x14ac:dyDescent="0.3">
      <c r="A491" s="4" t="s">
        <v>551</v>
      </c>
      <c r="B491" s="9">
        <v>45451</v>
      </c>
      <c r="C491" s="4" t="s">
        <v>27</v>
      </c>
      <c r="D491" s="4" t="s">
        <v>40</v>
      </c>
      <c r="E491" s="4" t="s">
        <v>47</v>
      </c>
      <c r="F491" s="4" t="s">
        <v>76</v>
      </c>
      <c r="G491" s="4" t="s">
        <v>37</v>
      </c>
      <c r="H491" s="14">
        <v>51.3</v>
      </c>
      <c r="I491" s="2" t="str">
        <f t="shared" si="40"/>
        <v>Moderate Risk</v>
      </c>
      <c r="J491" s="4">
        <v>73</v>
      </c>
      <c r="K491" s="2" t="str">
        <f t="shared" si="43"/>
        <v>High Confidence</v>
      </c>
      <c r="L491" s="4" t="s">
        <v>43</v>
      </c>
      <c r="M491" s="2" t="str">
        <f t="shared" si="41"/>
        <v>Human Content</v>
      </c>
      <c r="N491" s="4">
        <v>0.73399999999999999</v>
      </c>
      <c r="O491" s="4" t="s">
        <v>22</v>
      </c>
      <c r="P491" s="4">
        <v>2960561</v>
      </c>
      <c r="Q491" s="2" t="str">
        <f t="shared" si="44"/>
        <v>Medium</v>
      </c>
      <c r="R491" s="4">
        <v>9886237</v>
      </c>
      <c r="S491" s="2" t="str">
        <f t="shared" si="42"/>
        <v>Highly Viral</v>
      </c>
      <c r="T491" s="4" t="s">
        <v>56</v>
      </c>
      <c r="U491" s="5" t="s">
        <v>32</v>
      </c>
    </row>
    <row r="492" spans="1:21" x14ac:dyDescent="0.3">
      <c r="A492" s="2" t="s">
        <v>552</v>
      </c>
      <c r="B492" s="8">
        <v>45377</v>
      </c>
      <c r="C492" s="2" t="s">
        <v>27</v>
      </c>
      <c r="D492" s="2" t="s">
        <v>60</v>
      </c>
      <c r="E492" s="2" t="s">
        <v>19</v>
      </c>
      <c r="F492" s="2" t="s">
        <v>36</v>
      </c>
      <c r="G492" s="2" t="s">
        <v>74</v>
      </c>
      <c r="H492" s="13">
        <v>56.4</v>
      </c>
      <c r="I492" s="2" t="str">
        <f t="shared" si="40"/>
        <v>Moderate Risk</v>
      </c>
      <c r="J492" s="2">
        <v>53</v>
      </c>
      <c r="K492" s="2" t="str">
        <f t="shared" si="43"/>
        <v>Moderate Confidence</v>
      </c>
      <c r="L492" s="2" t="s">
        <v>43</v>
      </c>
      <c r="M492" s="2" t="str">
        <f t="shared" si="41"/>
        <v>Human Content</v>
      </c>
      <c r="N492" s="2">
        <v>0.47299999999999998</v>
      </c>
      <c r="O492" s="2" t="s">
        <v>30</v>
      </c>
      <c r="P492" s="2">
        <v>4805597</v>
      </c>
      <c r="Q492" s="2" t="str">
        <f t="shared" si="44"/>
        <v>High</v>
      </c>
      <c r="R492" s="2">
        <v>1732575</v>
      </c>
      <c r="S492" s="2" t="str">
        <f t="shared" si="42"/>
        <v>Moderately Viral</v>
      </c>
      <c r="T492" s="2" t="s">
        <v>56</v>
      </c>
      <c r="U492" s="5" t="s">
        <v>32</v>
      </c>
    </row>
    <row r="493" spans="1:21" x14ac:dyDescent="0.3">
      <c r="A493" s="4" t="s">
        <v>553</v>
      </c>
      <c r="B493" s="9">
        <v>45611</v>
      </c>
      <c r="C493" s="4" t="s">
        <v>27</v>
      </c>
      <c r="D493" s="4" t="s">
        <v>40</v>
      </c>
      <c r="E493" s="4" t="s">
        <v>71</v>
      </c>
      <c r="F493" s="4" t="s">
        <v>41</v>
      </c>
      <c r="G493" s="4" t="s">
        <v>21</v>
      </c>
      <c r="H493" s="14">
        <v>50.6</v>
      </c>
      <c r="I493" s="2" t="str">
        <f t="shared" si="40"/>
        <v>Moderate Risk</v>
      </c>
      <c r="J493" s="4">
        <v>91.7</v>
      </c>
      <c r="K493" s="2" t="str">
        <f t="shared" si="43"/>
        <v>High Confidence</v>
      </c>
      <c r="L493" s="4" t="s">
        <v>43</v>
      </c>
      <c r="M493" s="2" t="str">
        <f t="shared" si="41"/>
        <v>Human Content</v>
      </c>
      <c r="N493" s="4">
        <v>0.27800000000000002</v>
      </c>
      <c r="O493" s="4" t="s">
        <v>30</v>
      </c>
      <c r="P493" s="4">
        <v>2357063</v>
      </c>
      <c r="Q493" s="2" t="str">
        <f t="shared" si="44"/>
        <v>Medium</v>
      </c>
      <c r="R493" s="4">
        <v>9235253</v>
      </c>
      <c r="S493" s="2" t="str">
        <f t="shared" si="42"/>
        <v>Highly Viral</v>
      </c>
      <c r="T493" s="4" t="s">
        <v>56</v>
      </c>
      <c r="U493" s="5" t="s">
        <v>32</v>
      </c>
    </row>
    <row r="494" spans="1:21" x14ac:dyDescent="0.3">
      <c r="A494" s="2" t="s">
        <v>554</v>
      </c>
      <c r="B494" s="8">
        <v>45299</v>
      </c>
      <c r="C494" s="2" t="s">
        <v>17</v>
      </c>
      <c r="D494" s="2" t="s">
        <v>60</v>
      </c>
      <c r="E494" s="2" t="s">
        <v>35</v>
      </c>
      <c r="F494" s="2" t="s">
        <v>58</v>
      </c>
      <c r="G494" s="2" t="s">
        <v>42</v>
      </c>
      <c r="H494" s="13">
        <v>15.1</v>
      </c>
      <c r="I494" s="2" t="str">
        <f t="shared" si="40"/>
        <v>Moderate Risk</v>
      </c>
      <c r="J494" s="2">
        <v>71.900000000000006</v>
      </c>
      <c r="K494" s="2" t="str">
        <f t="shared" si="43"/>
        <v>High Confidence</v>
      </c>
      <c r="L494" s="2" t="s">
        <v>22</v>
      </c>
      <c r="M494" s="2" t="str">
        <f t="shared" si="41"/>
        <v>Human Content</v>
      </c>
      <c r="N494" s="2">
        <v>0.80800000000000005</v>
      </c>
      <c r="O494" s="2" t="s">
        <v>22</v>
      </c>
      <c r="P494" s="2">
        <v>1981454</v>
      </c>
      <c r="Q494" s="2" t="str">
        <f t="shared" si="44"/>
        <v>Medium</v>
      </c>
      <c r="R494" s="2">
        <v>16271665</v>
      </c>
      <c r="S494" s="2" t="str">
        <f t="shared" si="42"/>
        <v>Highly Viral</v>
      </c>
      <c r="T494" s="2" t="s">
        <v>31</v>
      </c>
      <c r="U494" s="3" t="s">
        <v>25</v>
      </c>
    </row>
    <row r="495" spans="1:21" x14ac:dyDescent="0.3">
      <c r="A495" s="4" t="s">
        <v>555</v>
      </c>
      <c r="B495" s="9">
        <v>45562</v>
      </c>
      <c r="C495" s="4" t="s">
        <v>27</v>
      </c>
      <c r="D495" s="4" t="s">
        <v>40</v>
      </c>
      <c r="E495" s="4" t="s">
        <v>73</v>
      </c>
      <c r="F495" s="4" t="s">
        <v>20</v>
      </c>
      <c r="G495" s="4" t="s">
        <v>29</v>
      </c>
      <c r="H495" s="14">
        <v>93.4</v>
      </c>
      <c r="I495" s="2" t="str">
        <f t="shared" si="40"/>
        <v>High Risk</v>
      </c>
      <c r="J495" s="4">
        <v>57.6</v>
      </c>
      <c r="K495" s="2" t="str">
        <f t="shared" si="43"/>
        <v>Moderate Confidence</v>
      </c>
      <c r="L495" s="4" t="s">
        <v>30</v>
      </c>
      <c r="M495" s="2" t="str">
        <f t="shared" si="41"/>
        <v>AI Generated</v>
      </c>
      <c r="N495" s="4">
        <v>0.496</v>
      </c>
      <c r="O495" s="4" t="s">
        <v>22</v>
      </c>
      <c r="P495" s="4">
        <v>3214337</v>
      </c>
      <c r="Q495" s="2" t="str">
        <f t="shared" si="44"/>
        <v>Medium</v>
      </c>
      <c r="R495" s="4">
        <v>7984691</v>
      </c>
      <c r="S495" s="2" t="str">
        <f t="shared" si="42"/>
        <v>Highly Viral</v>
      </c>
      <c r="T495" s="4" t="s">
        <v>24</v>
      </c>
      <c r="U495" s="6" t="s">
        <v>48</v>
      </c>
    </row>
    <row r="496" spans="1:21" x14ac:dyDescent="0.3">
      <c r="A496" s="2" t="s">
        <v>556</v>
      </c>
      <c r="B496" s="8">
        <v>45618</v>
      </c>
      <c r="C496" s="2" t="s">
        <v>69</v>
      </c>
      <c r="D496" s="2" t="s">
        <v>50</v>
      </c>
      <c r="E496" s="2" t="s">
        <v>51</v>
      </c>
      <c r="F496" s="2" t="s">
        <v>41</v>
      </c>
      <c r="G496" s="2" t="s">
        <v>42</v>
      </c>
      <c r="H496" s="13">
        <v>26.4</v>
      </c>
      <c r="I496" s="2" t="str">
        <f t="shared" si="40"/>
        <v>Moderate Risk</v>
      </c>
      <c r="J496" s="2">
        <v>90.2</v>
      </c>
      <c r="K496" s="2" t="str">
        <f t="shared" si="43"/>
        <v>High Confidence</v>
      </c>
      <c r="L496" s="2" t="s">
        <v>22</v>
      </c>
      <c r="M496" s="2" t="str">
        <f t="shared" si="41"/>
        <v>Human Content</v>
      </c>
      <c r="N496" s="2">
        <v>5.2999999999999999E-2</v>
      </c>
      <c r="O496" s="2" t="s">
        <v>22</v>
      </c>
      <c r="P496" s="2">
        <v>3345013</v>
      </c>
      <c r="Q496" s="2" t="str">
        <f t="shared" si="44"/>
        <v>Medium</v>
      </c>
      <c r="R496" s="2">
        <v>15980192</v>
      </c>
      <c r="S496" s="2" t="str">
        <f t="shared" si="42"/>
        <v>Highly Viral</v>
      </c>
      <c r="T496" s="2" t="s">
        <v>56</v>
      </c>
      <c r="U496" s="3" t="s">
        <v>25</v>
      </c>
    </row>
    <row r="497" spans="1:21" x14ac:dyDescent="0.3">
      <c r="A497" s="4" t="s">
        <v>557</v>
      </c>
      <c r="B497" s="9">
        <v>45535</v>
      </c>
      <c r="C497" s="4" t="s">
        <v>46</v>
      </c>
      <c r="D497" s="4" t="s">
        <v>55</v>
      </c>
      <c r="E497" s="4" t="s">
        <v>88</v>
      </c>
      <c r="F497" s="4" t="s">
        <v>76</v>
      </c>
      <c r="G497" s="4" t="s">
        <v>64</v>
      </c>
      <c r="H497" s="14">
        <v>14.5</v>
      </c>
      <c r="I497" s="2" t="str">
        <f t="shared" si="40"/>
        <v>Moderate Risk</v>
      </c>
      <c r="J497" s="4">
        <v>92.6</v>
      </c>
      <c r="K497" s="2" t="str">
        <f t="shared" si="43"/>
        <v>High Confidence</v>
      </c>
      <c r="L497" s="4" t="s">
        <v>22</v>
      </c>
      <c r="M497" s="2" t="str">
        <f t="shared" si="41"/>
        <v>Human Content</v>
      </c>
      <c r="N497" s="4">
        <v>1.2E-2</v>
      </c>
      <c r="O497" s="4" t="s">
        <v>22</v>
      </c>
      <c r="P497" s="4">
        <v>3204582</v>
      </c>
      <c r="Q497" s="2" t="str">
        <f t="shared" si="44"/>
        <v>Medium</v>
      </c>
      <c r="R497" s="4">
        <v>10593252</v>
      </c>
      <c r="S497" s="2" t="str">
        <f t="shared" si="42"/>
        <v>Highly Viral</v>
      </c>
      <c r="T497" s="4" t="s">
        <v>44</v>
      </c>
      <c r="U497" s="3" t="s">
        <v>25</v>
      </c>
    </row>
    <row r="498" spans="1:21" x14ac:dyDescent="0.3">
      <c r="A498" s="2" t="s">
        <v>558</v>
      </c>
      <c r="B498" s="8">
        <v>45641</v>
      </c>
      <c r="C498" s="2" t="s">
        <v>27</v>
      </c>
      <c r="D498" s="2" t="s">
        <v>18</v>
      </c>
      <c r="E498" s="2" t="s">
        <v>51</v>
      </c>
      <c r="F498" s="2" t="s">
        <v>76</v>
      </c>
      <c r="G498" s="2" t="s">
        <v>29</v>
      </c>
      <c r="H498" s="13">
        <v>91.8</v>
      </c>
      <c r="I498" s="2" t="str">
        <f t="shared" si="40"/>
        <v>High Risk</v>
      </c>
      <c r="J498" s="2">
        <v>92.1</v>
      </c>
      <c r="K498" s="2" t="str">
        <f t="shared" si="43"/>
        <v>High Confidence</v>
      </c>
      <c r="L498" s="2" t="s">
        <v>30</v>
      </c>
      <c r="M498" s="2" t="str">
        <f t="shared" si="41"/>
        <v>AI Generated</v>
      </c>
      <c r="N498" s="2">
        <v>0.33500000000000002</v>
      </c>
      <c r="O498" s="2" t="s">
        <v>22</v>
      </c>
      <c r="P498" s="2">
        <v>824505</v>
      </c>
      <c r="Q498" s="2" t="str">
        <f t="shared" si="44"/>
        <v>Low</v>
      </c>
      <c r="R498" s="2">
        <v>8568420</v>
      </c>
      <c r="S498" s="2" t="str">
        <f t="shared" si="42"/>
        <v>Highly Viral</v>
      </c>
      <c r="T498" s="2" t="s">
        <v>44</v>
      </c>
      <c r="U498" s="6" t="s">
        <v>48</v>
      </c>
    </row>
    <row r="499" spans="1:21" x14ac:dyDescent="0.3">
      <c r="A499" s="4" t="s">
        <v>559</v>
      </c>
      <c r="B499" s="9">
        <v>45492</v>
      </c>
      <c r="C499" s="4" t="s">
        <v>54</v>
      </c>
      <c r="D499" s="4" t="s">
        <v>50</v>
      </c>
      <c r="E499" s="4" t="s">
        <v>28</v>
      </c>
      <c r="F499" s="4" t="s">
        <v>58</v>
      </c>
      <c r="G499" s="4" t="s">
        <v>64</v>
      </c>
      <c r="H499" s="14">
        <v>67.8</v>
      </c>
      <c r="I499" s="2" t="str">
        <f t="shared" si="40"/>
        <v>High Risk</v>
      </c>
      <c r="J499" s="4">
        <v>98.7</v>
      </c>
      <c r="K499" s="2" t="str">
        <f t="shared" si="43"/>
        <v>High Confidence</v>
      </c>
      <c r="L499" s="4" t="s">
        <v>30</v>
      </c>
      <c r="M499" s="2" t="str">
        <f t="shared" si="41"/>
        <v>AI Generated</v>
      </c>
      <c r="N499" s="4">
        <v>0.313</v>
      </c>
      <c r="O499" s="4" t="s">
        <v>30</v>
      </c>
      <c r="P499" s="4">
        <v>71203</v>
      </c>
      <c r="Q499" s="2" t="str">
        <f t="shared" si="44"/>
        <v>Low</v>
      </c>
      <c r="R499" s="4">
        <v>2280589</v>
      </c>
      <c r="S499" s="2" t="str">
        <f t="shared" si="42"/>
        <v>Moderately Viral</v>
      </c>
      <c r="T499" s="4" t="s">
        <v>61</v>
      </c>
      <c r="U499" s="6" t="s">
        <v>48</v>
      </c>
    </row>
    <row r="500" spans="1:21" x14ac:dyDescent="0.3">
      <c r="A500" s="2" t="s">
        <v>560</v>
      </c>
      <c r="B500" s="8">
        <v>45502</v>
      </c>
      <c r="C500" s="2" t="s">
        <v>17</v>
      </c>
      <c r="D500" s="2" t="s">
        <v>60</v>
      </c>
      <c r="E500" s="2" t="s">
        <v>73</v>
      </c>
      <c r="F500" s="2" t="s">
        <v>36</v>
      </c>
      <c r="G500" s="2" t="s">
        <v>37</v>
      </c>
      <c r="H500" s="13">
        <v>35.200000000000003</v>
      </c>
      <c r="I500" s="2" t="str">
        <f t="shared" si="40"/>
        <v>Moderate Risk</v>
      </c>
      <c r="J500" s="2">
        <v>85.5</v>
      </c>
      <c r="K500" s="2" t="str">
        <f t="shared" si="43"/>
        <v>High Confidence</v>
      </c>
      <c r="L500" s="2" t="s">
        <v>43</v>
      </c>
      <c r="M500" s="2" t="str">
        <f t="shared" si="41"/>
        <v>Human Content</v>
      </c>
      <c r="N500" s="2">
        <v>0.252</v>
      </c>
      <c r="O500" s="2" t="s">
        <v>30</v>
      </c>
      <c r="P500" s="2">
        <v>198913</v>
      </c>
      <c r="Q500" s="2" t="str">
        <f t="shared" si="44"/>
        <v>Low</v>
      </c>
      <c r="R500" s="2">
        <v>3085537</v>
      </c>
      <c r="S500" s="2" t="str">
        <f t="shared" si="42"/>
        <v>Moderately Viral</v>
      </c>
      <c r="T500" s="2" t="s">
        <v>61</v>
      </c>
      <c r="U500" s="5" t="s">
        <v>32</v>
      </c>
    </row>
    <row r="501" spans="1:21" x14ac:dyDescent="0.3">
      <c r="A501" s="4" t="s">
        <v>561</v>
      </c>
      <c r="B501" s="9">
        <v>45596</v>
      </c>
      <c r="C501" s="4" t="s">
        <v>46</v>
      </c>
      <c r="D501" s="4" t="s">
        <v>60</v>
      </c>
      <c r="E501" s="4" t="s">
        <v>73</v>
      </c>
      <c r="F501" s="4" t="s">
        <v>36</v>
      </c>
      <c r="G501" s="4" t="s">
        <v>67</v>
      </c>
      <c r="H501" s="14">
        <v>8.6</v>
      </c>
      <c r="I501" s="2" t="str">
        <f t="shared" si="40"/>
        <v>Moderate Risk</v>
      </c>
      <c r="J501" s="4">
        <v>79.599999999999994</v>
      </c>
      <c r="K501" s="2" t="str">
        <f t="shared" si="43"/>
        <v>High Confidence</v>
      </c>
      <c r="L501" s="4" t="s">
        <v>22</v>
      </c>
      <c r="M501" s="2" t="str">
        <f t="shared" si="41"/>
        <v>Human Content</v>
      </c>
      <c r="N501" s="4">
        <v>0.376</v>
      </c>
      <c r="O501" s="4" t="s">
        <v>23</v>
      </c>
      <c r="P501" s="4">
        <v>4748629</v>
      </c>
      <c r="Q501" s="2" t="str">
        <f t="shared" si="44"/>
        <v>High</v>
      </c>
      <c r="R501" s="4">
        <v>6200305</v>
      </c>
      <c r="S501" s="2" t="str">
        <f t="shared" si="42"/>
        <v>Highly Viral</v>
      </c>
      <c r="T501" s="4" t="s">
        <v>61</v>
      </c>
      <c r="U501" s="3" t="s">
        <v>25</v>
      </c>
    </row>
    <row r="502" spans="1:21" x14ac:dyDescent="0.3">
      <c r="Q50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18D-8FA7-43E2-B965-355955AE9569}">
  <dimension ref="A1:K133"/>
  <sheetViews>
    <sheetView topLeftCell="A95" workbookViewId="0">
      <selection activeCell="A142" sqref="A142"/>
    </sheetView>
  </sheetViews>
  <sheetFormatPr defaultRowHeight="14.4" x14ac:dyDescent="0.3"/>
  <cols>
    <col min="1" max="1" width="10.77734375" bestFit="1" customWidth="1"/>
    <col min="2" max="2" width="27.77734375" bestFit="1" customWidth="1"/>
    <col min="3" max="3" width="27.6640625" bestFit="1" customWidth="1"/>
    <col min="4" max="4" width="10.5546875" customWidth="1"/>
    <col min="5" max="5" width="15.44140625" customWidth="1"/>
    <col min="6" max="6" width="13.88671875" customWidth="1"/>
    <col min="7" max="7" width="21.33203125" customWidth="1"/>
    <col min="11" max="11" width="35.109375" customWidth="1"/>
  </cols>
  <sheetData>
    <row r="1" spans="1:11" x14ac:dyDescent="0.3">
      <c r="A1" s="20" t="s">
        <v>590</v>
      </c>
      <c r="B1" s="20"/>
    </row>
    <row r="2" spans="1:11" x14ac:dyDescent="0.3">
      <c r="A2" s="17" t="s">
        <v>569</v>
      </c>
      <c r="B2" t="s">
        <v>568</v>
      </c>
      <c r="D2" s="16"/>
      <c r="E2" s="16"/>
      <c r="F2" s="16"/>
      <c r="G2" s="16"/>
    </row>
    <row r="3" spans="1:11" x14ac:dyDescent="0.3">
      <c r="A3" s="18" t="s">
        <v>32</v>
      </c>
      <c r="B3">
        <v>17</v>
      </c>
      <c r="K3" t="s">
        <v>600</v>
      </c>
    </row>
    <row r="4" spans="1:11" x14ac:dyDescent="0.3">
      <c r="A4" s="18" t="s">
        <v>567</v>
      </c>
      <c r="B4">
        <v>17</v>
      </c>
      <c r="K4" t="s">
        <v>601</v>
      </c>
    </row>
    <row r="5" spans="1:11" x14ac:dyDescent="0.3">
      <c r="K5" t="s">
        <v>602</v>
      </c>
    </row>
    <row r="6" spans="1:11" x14ac:dyDescent="0.3">
      <c r="K6" t="s">
        <v>603</v>
      </c>
    </row>
    <row r="7" spans="1:11" x14ac:dyDescent="0.3">
      <c r="K7" t="s">
        <v>604</v>
      </c>
    </row>
    <row r="16" spans="1:11" x14ac:dyDescent="0.3">
      <c r="A16" s="20" t="s">
        <v>591</v>
      </c>
      <c r="B16" s="20"/>
    </row>
    <row r="17" spans="1:2" x14ac:dyDescent="0.3">
      <c r="A17" s="17" t="s">
        <v>2</v>
      </c>
      <c r="B17" t="s">
        <v>574</v>
      </c>
    </row>
    <row r="18" spans="1:2" x14ac:dyDescent="0.3">
      <c r="A18" s="18" t="s">
        <v>27</v>
      </c>
      <c r="B18" s="19">
        <v>42.3</v>
      </c>
    </row>
    <row r="19" spans="1:2" x14ac:dyDescent="0.3">
      <c r="A19" s="18" t="s">
        <v>69</v>
      </c>
      <c r="B19" s="19">
        <v>55.033333333333331</v>
      </c>
    </row>
    <row r="20" spans="1:2" x14ac:dyDescent="0.3">
      <c r="A20" s="18" t="s">
        <v>39</v>
      </c>
      <c r="B20" s="19">
        <v>59.4</v>
      </c>
    </row>
    <row r="21" spans="1:2" x14ac:dyDescent="0.3">
      <c r="A21" s="18" t="s">
        <v>78</v>
      </c>
      <c r="B21" s="19">
        <v>56.760000000000005</v>
      </c>
    </row>
    <row r="22" spans="1:2" x14ac:dyDescent="0.3">
      <c r="A22" s="18" t="s">
        <v>34</v>
      </c>
      <c r="B22" s="19">
        <v>60.2</v>
      </c>
    </row>
    <row r="23" spans="1:2" x14ac:dyDescent="0.3">
      <c r="A23" s="18" t="s">
        <v>17</v>
      </c>
      <c r="B23" s="19">
        <v>51.2</v>
      </c>
    </row>
    <row r="24" spans="1:2" x14ac:dyDescent="0.3">
      <c r="A24" s="18" t="s">
        <v>567</v>
      </c>
      <c r="B24" s="19">
        <v>55.205882352941174</v>
      </c>
    </row>
    <row r="35" spans="1:3" x14ac:dyDescent="0.3">
      <c r="A35" s="20" t="s">
        <v>592</v>
      </c>
      <c r="B35" s="20"/>
      <c r="C35" s="20"/>
    </row>
    <row r="36" spans="1:3" x14ac:dyDescent="0.3">
      <c r="A36" s="17" t="s">
        <v>598</v>
      </c>
      <c r="B36" t="s">
        <v>573</v>
      </c>
      <c r="C36" t="s">
        <v>572</v>
      </c>
    </row>
    <row r="37" spans="1:3" x14ac:dyDescent="0.3">
      <c r="A37" s="18" t="s">
        <v>570</v>
      </c>
      <c r="B37">
        <v>2606174.2941176472</v>
      </c>
      <c r="C37">
        <v>9695814.8823529407</v>
      </c>
    </row>
    <row r="38" spans="1:3" x14ac:dyDescent="0.3">
      <c r="A38" s="18" t="s">
        <v>567</v>
      </c>
      <c r="B38">
        <v>2606174.2941176472</v>
      </c>
      <c r="C38">
        <v>9695814.8823529407</v>
      </c>
    </row>
    <row r="52" spans="1:2" x14ac:dyDescent="0.3">
      <c r="A52" s="20" t="s">
        <v>593</v>
      </c>
      <c r="B52" s="20"/>
    </row>
    <row r="53" spans="1:2" x14ac:dyDescent="0.3">
      <c r="A53" s="17" t="s">
        <v>571</v>
      </c>
      <c r="B53" t="s">
        <v>572</v>
      </c>
    </row>
    <row r="54" spans="1:2" x14ac:dyDescent="0.3">
      <c r="A54" s="18" t="s">
        <v>43</v>
      </c>
      <c r="B54">
        <v>7114160.6363636367</v>
      </c>
    </row>
    <row r="55" spans="1:2" x14ac:dyDescent="0.3">
      <c r="A55" s="18" t="s">
        <v>30</v>
      </c>
      <c r="B55">
        <v>14428847.666666666</v>
      </c>
    </row>
    <row r="56" spans="1:2" x14ac:dyDescent="0.3">
      <c r="A56" s="18" t="s">
        <v>567</v>
      </c>
      <c r="B56">
        <v>9695814.8823529407</v>
      </c>
    </row>
    <row r="71" spans="1:3" x14ac:dyDescent="0.3">
      <c r="A71" s="20" t="s">
        <v>594</v>
      </c>
      <c r="B71" s="20"/>
      <c r="C71" s="20"/>
    </row>
    <row r="72" spans="1:3" x14ac:dyDescent="0.3">
      <c r="A72" s="17" t="s">
        <v>6</v>
      </c>
      <c r="B72" t="s">
        <v>574</v>
      </c>
      <c r="C72" t="s">
        <v>568</v>
      </c>
    </row>
    <row r="73" spans="1:3" x14ac:dyDescent="0.3">
      <c r="A73" s="18" t="s">
        <v>64</v>
      </c>
      <c r="B73" s="19">
        <v>55.205882352941167</v>
      </c>
      <c r="C73">
        <v>17</v>
      </c>
    </row>
    <row r="74" spans="1:3" x14ac:dyDescent="0.3">
      <c r="A74" s="18" t="s">
        <v>567</v>
      </c>
      <c r="B74" s="19">
        <v>55.205882352941167</v>
      </c>
      <c r="C74">
        <v>17</v>
      </c>
    </row>
    <row r="89" spans="1:2" x14ac:dyDescent="0.3">
      <c r="A89" s="20" t="s">
        <v>595</v>
      </c>
      <c r="B89" s="20"/>
    </row>
    <row r="90" spans="1:2" x14ac:dyDescent="0.3">
      <c r="A90" s="17" t="s">
        <v>577</v>
      </c>
      <c r="B90" t="s">
        <v>574</v>
      </c>
    </row>
    <row r="91" spans="1:2" x14ac:dyDescent="0.3">
      <c r="A91" s="18" t="s">
        <v>575</v>
      </c>
      <c r="B91" s="19">
        <v>56.461538461538453</v>
      </c>
    </row>
    <row r="92" spans="1:2" x14ac:dyDescent="0.3">
      <c r="A92" s="18" t="s">
        <v>576</v>
      </c>
      <c r="B92" s="19">
        <v>51.125</v>
      </c>
    </row>
    <row r="93" spans="1:2" x14ac:dyDescent="0.3">
      <c r="A93" s="18" t="s">
        <v>567</v>
      </c>
      <c r="B93" s="19">
        <v>55.205882352941167</v>
      </c>
    </row>
    <row r="103" spans="1:3" x14ac:dyDescent="0.3">
      <c r="A103" s="20" t="s">
        <v>596</v>
      </c>
      <c r="B103" s="20"/>
      <c r="C103" s="20"/>
    </row>
    <row r="104" spans="1:3" x14ac:dyDescent="0.3">
      <c r="A104" s="17" t="s">
        <v>578</v>
      </c>
      <c r="B104" t="s">
        <v>574</v>
      </c>
      <c r="C104" t="s">
        <v>573</v>
      </c>
    </row>
    <row r="105" spans="1:3" x14ac:dyDescent="0.3">
      <c r="A105" s="18" t="s">
        <v>40</v>
      </c>
      <c r="B105" s="19">
        <v>59.466666666666661</v>
      </c>
      <c r="C105">
        <v>2725066.3333333335</v>
      </c>
    </row>
    <row r="106" spans="1:3" x14ac:dyDescent="0.3">
      <c r="A106" s="18" t="s">
        <v>60</v>
      </c>
      <c r="B106" s="19">
        <v>58.875</v>
      </c>
      <c r="C106">
        <v>3180451</v>
      </c>
    </row>
    <row r="107" spans="1:3" x14ac:dyDescent="0.3">
      <c r="A107" s="18" t="s">
        <v>18</v>
      </c>
      <c r="B107" s="19">
        <v>59.4</v>
      </c>
      <c r="C107">
        <v>1613200</v>
      </c>
    </row>
    <row r="108" spans="1:3" x14ac:dyDescent="0.3">
      <c r="A108" s="18" t="s">
        <v>55</v>
      </c>
      <c r="B108" s="19">
        <v>48.680000000000007</v>
      </c>
      <c r="C108">
        <v>2624749.4</v>
      </c>
    </row>
    <row r="109" spans="1:3" x14ac:dyDescent="0.3">
      <c r="A109" s="18" t="s">
        <v>50</v>
      </c>
      <c r="B109" s="19">
        <v>51.5</v>
      </c>
      <c r="C109">
        <v>2722306.5</v>
      </c>
    </row>
    <row r="110" spans="1:3" x14ac:dyDescent="0.3">
      <c r="A110" s="18" t="s">
        <v>567</v>
      </c>
      <c r="B110" s="19">
        <v>55.205882352941167</v>
      </c>
      <c r="C110">
        <v>2606174.2941176472</v>
      </c>
    </row>
    <row r="120" spans="1:2" x14ac:dyDescent="0.3">
      <c r="A120" s="20" t="s">
        <v>597</v>
      </c>
      <c r="B120" s="20"/>
    </row>
    <row r="121" spans="1:2" x14ac:dyDescent="0.3">
      <c r="A121" s="17" t="s">
        <v>599</v>
      </c>
      <c r="B121" t="s">
        <v>574</v>
      </c>
    </row>
    <row r="122" spans="1:2" x14ac:dyDescent="0.3">
      <c r="A122" s="18" t="s">
        <v>579</v>
      </c>
      <c r="B122" s="19">
        <v>63.6</v>
      </c>
    </row>
    <row r="123" spans="1:2" x14ac:dyDescent="0.3">
      <c r="A123" s="18" t="s">
        <v>580</v>
      </c>
      <c r="B123" s="19">
        <v>60.8</v>
      </c>
    </row>
    <row r="124" spans="1:2" x14ac:dyDescent="0.3">
      <c r="A124" s="18" t="s">
        <v>581</v>
      </c>
      <c r="B124" s="19">
        <v>60.8</v>
      </c>
    </row>
    <row r="125" spans="1:2" x14ac:dyDescent="0.3">
      <c r="A125" s="18" t="s">
        <v>582</v>
      </c>
      <c r="B125" s="19">
        <v>45.25</v>
      </c>
    </row>
    <row r="126" spans="1:2" x14ac:dyDescent="0.3">
      <c r="A126" s="18" t="s">
        <v>583</v>
      </c>
      <c r="B126" s="19">
        <v>55</v>
      </c>
    </row>
    <row r="127" spans="1:2" x14ac:dyDescent="0.3">
      <c r="A127" s="18" t="s">
        <v>584</v>
      </c>
      <c r="B127" s="19">
        <v>42.3</v>
      </c>
    </row>
    <row r="128" spans="1:2" x14ac:dyDescent="0.3">
      <c r="A128" s="18" t="s">
        <v>585</v>
      </c>
      <c r="B128" s="19">
        <v>59.375</v>
      </c>
    </row>
    <row r="129" spans="1:2" x14ac:dyDescent="0.3">
      <c r="A129" s="18" t="s">
        <v>586</v>
      </c>
      <c r="B129" s="19">
        <v>57.8</v>
      </c>
    </row>
    <row r="130" spans="1:2" x14ac:dyDescent="0.3">
      <c r="A130" s="18" t="s">
        <v>587</v>
      </c>
      <c r="B130" s="19">
        <v>59.2</v>
      </c>
    </row>
    <row r="131" spans="1:2" x14ac:dyDescent="0.3">
      <c r="A131" s="18" t="s">
        <v>588</v>
      </c>
      <c r="B131" s="19">
        <v>56</v>
      </c>
    </row>
    <row r="132" spans="1:2" x14ac:dyDescent="0.3">
      <c r="A132" s="18" t="s">
        <v>589</v>
      </c>
      <c r="B132" s="19">
        <v>47.099999999999994</v>
      </c>
    </row>
    <row r="133" spans="1:2" x14ac:dyDescent="0.3">
      <c r="A133" s="18" t="s">
        <v>567</v>
      </c>
      <c r="B133" s="19">
        <v>55.205882352941167</v>
      </c>
    </row>
  </sheetData>
  <mergeCells count="8">
    <mergeCell ref="A103:C103"/>
    <mergeCell ref="A120:B120"/>
    <mergeCell ref="A1:B1"/>
    <mergeCell ref="A16:B16"/>
    <mergeCell ref="A35:C35"/>
    <mergeCell ref="A52:B52"/>
    <mergeCell ref="A71:C71"/>
    <mergeCell ref="A89:B89"/>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218B-BDE2-4CAB-997A-A967646B49D5}">
  <dimension ref="AE1:AE9"/>
  <sheetViews>
    <sheetView tabSelected="1" zoomScale="72" workbookViewId="0">
      <selection activeCell="AD15" sqref="AD15"/>
    </sheetView>
  </sheetViews>
  <sheetFormatPr defaultRowHeight="14.4" x14ac:dyDescent="0.3"/>
  <sheetData>
    <row r="1" spans="31:31" ht="55.8" customHeight="1" x14ac:dyDescent="0.3"/>
    <row r="7" spans="31:31" x14ac:dyDescent="0.3">
      <c r="AE7">
        <f>GETPIVOTDATA("Record_ID",'PIVOT TABLE'!$A$2)</f>
        <v>17</v>
      </c>
    </row>
    <row r="8" spans="31:31" x14ac:dyDescent="0.3">
      <c r="AE8" t="e">
        <f>GETPIVOTDATA("Record_ID",'PIVOT TABLE'!$A$2,"Verified_Label","FAKE")</f>
        <v>#REF!</v>
      </c>
    </row>
    <row r="9" spans="31:31" x14ac:dyDescent="0.3">
      <c r="AE9">
        <f>GETPIVOTDATA("Average of Engagement_Count",'PIVOT TABLE'!$A$104)</f>
        <v>2606174.2941176472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Saakshi Singh</dc:creator>
  <cp:lastModifiedBy>Saakshi Singh</cp:lastModifiedBy>
  <dcterms:created xsi:type="dcterms:W3CDTF">2015-06-05T18:17:20Z</dcterms:created>
  <dcterms:modified xsi:type="dcterms:W3CDTF">2026-04-10T13:25:41Z</dcterms:modified>
</cp:coreProperties>
</file>